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ee1196b185ba8c9/デスクトップ/原価計算サンプル資料/"/>
    </mc:Choice>
  </mc:AlternateContent>
  <xr:revisionPtr revIDLastSave="1" documentId="8_{91794751-1EDF-43D8-A2AA-83A87E5A41D4}" xr6:coauthVersionLast="47" xr6:coauthVersionMax="47" xr10:uidLastSave="{693006C3-5AC6-4125-8441-DE4BFDE20593}"/>
  <bookViews>
    <workbookView xWindow="-98" yWindow="-98" windowWidth="19396" windowHeight="11475" xr2:uid="{55DF8196-DFB3-4C13-B7F3-41039A33A641}"/>
  </bookViews>
  <sheets>
    <sheet name="Jancode" sheetId="1" r:id="rId1"/>
  </sheets>
  <externalReferences>
    <externalReference r:id="rId2"/>
  </externalReferences>
  <definedNames>
    <definedName name="_xlnm._FilterDatabase" localSheetId="0" hidden="1">Jancode!$A$56:$AN$101</definedName>
    <definedName name="AOAI8992">#REF!</definedName>
    <definedName name="AOVIP6003049731">[1]原価計算!#REF!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01" i="1" l="1"/>
  <c r="AB101" i="1"/>
  <c r="AA101" i="1"/>
  <c r="Z101" i="1"/>
  <c r="G101" i="1"/>
  <c r="F101" i="1"/>
  <c r="A101" i="1"/>
  <c r="AC100" i="1"/>
  <c r="AB100" i="1"/>
  <c r="AA100" i="1"/>
  <c r="Z100" i="1"/>
  <c r="G100" i="1"/>
  <c r="F100" i="1"/>
  <c r="A100" i="1"/>
  <c r="AC99" i="1"/>
  <c r="AB99" i="1"/>
  <c r="AA99" i="1"/>
  <c r="Z99" i="1"/>
  <c r="G99" i="1"/>
  <c r="F99" i="1"/>
  <c r="A99" i="1"/>
  <c r="AC98" i="1"/>
  <c r="AB98" i="1"/>
  <c r="AA98" i="1"/>
  <c r="Z98" i="1"/>
  <c r="G98" i="1"/>
  <c r="F98" i="1"/>
  <c r="A98" i="1"/>
  <c r="AC97" i="1"/>
  <c r="AB97" i="1"/>
  <c r="AA97" i="1"/>
  <c r="Z97" i="1"/>
  <c r="G97" i="1"/>
  <c r="F97" i="1"/>
  <c r="A97" i="1"/>
  <c r="AC96" i="1"/>
  <c r="AB96" i="1"/>
  <c r="AA96" i="1"/>
  <c r="Z96" i="1"/>
  <c r="G96" i="1"/>
  <c r="F96" i="1"/>
  <c r="A96" i="1"/>
  <c r="AC95" i="1"/>
  <c r="AB95" i="1"/>
  <c r="AA95" i="1"/>
  <c r="Z95" i="1"/>
  <c r="G95" i="1"/>
  <c r="F95" i="1"/>
  <c r="A95" i="1"/>
  <c r="AC94" i="1"/>
  <c r="AB94" i="1"/>
  <c r="AA94" i="1"/>
  <c r="Z94" i="1"/>
  <c r="G94" i="1"/>
  <c r="F94" i="1"/>
  <c r="A94" i="1"/>
  <c r="AC93" i="1"/>
  <c r="AB93" i="1"/>
  <c r="AA93" i="1"/>
  <c r="Z93" i="1"/>
  <c r="G93" i="1"/>
  <c r="F93" i="1"/>
  <c r="A93" i="1"/>
  <c r="AC92" i="1"/>
  <c r="AB92" i="1"/>
  <c r="AA92" i="1"/>
  <c r="Z92" i="1"/>
  <c r="G92" i="1"/>
  <c r="F92" i="1"/>
  <c r="A92" i="1"/>
  <c r="AC91" i="1"/>
  <c r="AB91" i="1"/>
  <c r="AA91" i="1"/>
  <c r="Z91" i="1"/>
  <c r="G91" i="1"/>
  <c r="F91" i="1"/>
  <c r="A91" i="1"/>
  <c r="AC90" i="1"/>
  <c r="AB90" i="1"/>
  <c r="AA90" i="1"/>
  <c r="Z90" i="1"/>
  <c r="G90" i="1"/>
  <c r="F90" i="1"/>
  <c r="A90" i="1"/>
  <c r="AC89" i="1"/>
  <c r="AB89" i="1"/>
  <c r="AA89" i="1"/>
  <c r="Z89" i="1"/>
  <c r="G89" i="1"/>
  <c r="F89" i="1"/>
  <c r="A89" i="1"/>
  <c r="AC88" i="1"/>
  <c r="AB88" i="1"/>
  <c r="AA88" i="1"/>
  <c r="Z88" i="1"/>
  <c r="G88" i="1"/>
  <c r="F88" i="1"/>
  <c r="A88" i="1"/>
  <c r="AC87" i="1"/>
  <c r="AB87" i="1"/>
  <c r="AA87" i="1"/>
  <c r="Z87" i="1"/>
  <c r="G87" i="1"/>
  <c r="F87" i="1"/>
  <c r="A87" i="1"/>
  <c r="AC86" i="1"/>
  <c r="AB86" i="1"/>
  <c r="AA86" i="1"/>
  <c r="Z86" i="1"/>
  <c r="G86" i="1"/>
  <c r="F86" i="1"/>
  <c r="A86" i="1"/>
  <c r="AC85" i="1"/>
  <c r="AB85" i="1"/>
  <c r="AA85" i="1"/>
  <c r="Z85" i="1"/>
  <c r="G85" i="1"/>
  <c r="F85" i="1"/>
  <c r="A85" i="1"/>
  <c r="AC84" i="1"/>
  <c r="AB84" i="1"/>
  <c r="AA84" i="1"/>
  <c r="Z84" i="1"/>
  <c r="G84" i="1"/>
  <c r="F84" i="1"/>
  <c r="A84" i="1"/>
  <c r="AC83" i="1"/>
  <c r="AB83" i="1"/>
  <c r="AA83" i="1"/>
  <c r="Z83" i="1"/>
  <c r="G83" i="1"/>
  <c r="F83" i="1"/>
  <c r="A83" i="1"/>
  <c r="AC82" i="1"/>
  <c r="AB82" i="1"/>
  <c r="AA82" i="1"/>
  <c r="Z82" i="1"/>
  <c r="X82" i="1"/>
  <c r="G82" i="1"/>
  <c r="F82" i="1"/>
  <c r="A82" i="1"/>
  <c r="AC81" i="1"/>
  <c r="AB81" i="1"/>
  <c r="AA81" i="1"/>
  <c r="Z81" i="1"/>
  <c r="G81" i="1"/>
  <c r="F81" i="1"/>
  <c r="A81" i="1"/>
  <c r="AC80" i="1"/>
  <c r="AB80" i="1"/>
  <c r="AA80" i="1"/>
  <c r="Z80" i="1"/>
  <c r="G80" i="1"/>
  <c r="F80" i="1"/>
  <c r="A80" i="1"/>
  <c r="AC79" i="1"/>
  <c r="AB79" i="1"/>
  <c r="AA79" i="1"/>
  <c r="Z79" i="1"/>
  <c r="G79" i="1"/>
  <c r="F79" i="1"/>
  <c r="A79" i="1"/>
  <c r="AC78" i="1"/>
  <c r="AB78" i="1"/>
  <c r="AA78" i="1"/>
  <c r="Z78" i="1"/>
  <c r="G78" i="1"/>
  <c r="F78" i="1"/>
  <c r="A78" i="1"/>
  <c r="AC77" i="1"/>
  <c r="AB77" i="1"/>
  <c r="AA77" i="1"/>
  <c r="Z77" i="1"/>
  <c r="X77" i="1"/>
  <c r="G77" i="1"/>
  <c r="F77" i="1"/>
  <c r="A77" i="1"/>
  <c r="AC76" i="1"/>
  <c r="AB76" i="1"/>
  <c r="AA76" i="1"/>
  <c r="Z76" i="1"/>
  <c r="X76" i="1"/>
  <c r="G76" i="1"/>
  <c r="F76" i="1"/>
  <c r="A76" i="1"/>
  <c r="AC75" i="1"/>
  <c r="AB75" i="1"/>
  <c r="AA75" i="1"/>
  <c r="Z75" i="1"/>
  <c r="X75" i="1"/>
  <c r="G75" i="1"/>
  <c r="F75" i="1"/>
  <c r="A75" i="1"/>
  <c r="AC74" i="1"/>
  <c r="AB74" i="1"/>
  <c r="AA74" i="1"/>
  <c r="Z74" i="1"/>
  <c r="X74" i="1"/>
  <c r="G74" i="1"/>
  <c r="F74" i="1"/>
  <c r="A74" i="1"/>
  <c r="AC73" i="1"/>
  <c r="AB73" i="1"/>
  <c r="AA73" i="1"/>
  <c r="Z73" i="1"/>
  <c r="X73" i="1"/>
  <c r="G73" i="1"/>
  <c r="F73" i="1"/>
  <c r="A73" i="1"/>
  <c r="AC72" i="1"/>
  <c r="AB72" i="1"/>
  <c r="AA72" i="1"/>
  <c r="Z72" i="1"/>
  <c r="X72" i="1"/>
  <c r="G72" i="1"/>
  <c r="F72" i="1"/>
  <c r="A72" i="1"/>
  <c r="AC71" i="1"/>
  <c r="AB71" i="1"/>
  <c r="AA71" i="1"/>
  <c r="Z71" i="1"/>
  <c r="G71" i="1"/>
  <c r="F71" i="1"/>
  <c r="A71" i="1"/>
  <c r="AC70" i="1"/>
  <c r="AB70" i="1"/>
  <c r="AA70" i="1"/>
  <c r="Z70" i="1"/>
  <c r="X70" i="1"/>
  <c r="G70" i="1"/>
  <c r="F70" i="1"/>
  <c r="A70" i="1"/>
  <c r="AC69" i="1"/>
  <c r="AB69" i="1"/>
  <c r="AA69" i="1"/>
  <c r="Z69" i="1"/>
  <c r="G69" i="1"/>
  <c r="F69" i="1"/>
  <c r="A69" i="1"/>
  <c r="AC68" i="1"/>
  <c r="AB68" i="1"/>
  <c r="AA68" i="1"/>
  <c r="Z68" i="1"/>
  <c r="G68" i="1"/>
  <c r="F68" i="1"/>
  <c r="A68" i="1"/>
  <c r="AC67" i="1"/>
  <c r="AB67" i="1"/>
  <c r="AA67" i="1"/>
  <c r="Z67" i="1"/>
  <c r="X67" i="1"/>
  <c r="G67" i="1"/>
  <c r="F67" i="1"/>
  <c r="A67" i="1"/>
  <c r="AC66" i="1"/>
  <c r="AB66" i="1"/>
  <c r="AA66" i="1"/>
  <c r="Z66" i="1"/>
  <c r="X66" i="1"/>
  <c r="G66" i="1"/>
  <c r="F66" i="1"/>
  <c r="A66" i="1"/>
  <c r="AC65" i="1"/>
  <c r="AB65" i="1"/>
  <c r="AA65" i="1"/>
  <c r="Z65" i="1"/>
  <c r="X65" i="1"/>
  <c r="G65" i="1"/>
  <c r="F65" i="1"/>
  <c r="A65" i="1"/>
  <c r="AC64" i="1"/>
  <c r="AB64" i="1"/>
  <c r="AA64" i="1"/>
  <c r="Z64" i="1"/>
  <c r="X64" i="1"/>
  <c r="G64" i="1"/>
  <c r="F64" i="1"/>
  <c r="A64" i="1"/>
  <c r="AC63" i="1"/>
  <c r="AB63" i="1"/>
  <c r="AA63" i="1"/>
  <c r="Z63" i="1"/>
  <c r="X63" i="1"/>
  <c r="G63" i="1"/>
  <c r="F63" i="1"/>
  <c r="A63" i="1"/>
  <c r="AC62" i="1"/>
  <c r="AB62" i="1"/>
  <c r="AA62" i="1"/>
  <c r="Z62" i="1"/>
  <c r="X62" i="1"/>
  <c r="G62" i="1"/>
  <c r="F62" i="1"/>
  <c r="A62" i="1"/>
  <c r="AC61" i="1"/>
  <c r="AB61" i="1"/>
  <c r="AA61" i="1"/>
  <c r="Z61" i="1"/>
  <c r="X61" i="1"/>
  <c r="G61" i="1"/>
  <c r="F61" i="1"/>
  <c r="A61" i="1"/>
  <c r="AC60" i="1"/>
  <c r="AB60" i="1"/>
  <c r="AA60" i="1"/>
  <c r="Z60" i="1"/>
  <c r="X60" i="1"/>
  <c r="G60" i="1"/>
  <c r="F60" i="1"/>
  <c r="A60" i="1"/>
  <c r="AC59" i="1"/>
  <c r="AB59" i="1"/>
  <c r="AA59" i="1"/>
  <c r="Z59" i="1"/>
  <c r="X59" i="1"/>
  <c r="G59" i="1"/>
  <c r="F59" i="1"/>
  <c r="A59" i="1"/>
  <c r="AC58" i="1"/>
  <c r="AB58" i="1"/>
  <c r="AA58" i="1"/>
  <c r="Z58" i="1"/>
  <c r="X58" i="1"/>
  <c r="G58" i="1"/>
  <c r="F58" i="1"/>
  <c r="A58" i="1"/>
  <c r="AC57" i="1"/>
  <c r="AB57" i="1"/>
  <c r="AA57" i="1"/>
  <c r="Z57" i="1"/>
  <c r="X57" i="1"/>
  <c r="G57" i="1"/>
  <c r="F57" i="1"/>
  <c r="A57" i="1"/>
  <c r="AC56" i="1"/>
  <c r="Z56" i="1"/>
  <c r="Y56" i="1"/>
  <c r="X56" i="1"/>
  <c r="G56" i="1"/>
  <c r="F56" i="1"/>
  <c r="A56" i="1"/>
  <c r="AC54" i="1"/>
  <c r="AB54" i="1"/>
  <c r="AA54" i="1"/>
  <c r="Z54" i="1"/>
  <c r="G54" i="1"/>
  <c r="F54" i="1"/>
  <c r="A54" i="1"/>
  <c r="AC53" i="1"/>
  <c r="AB53" i="1"/>
  <c r="AA53" i="1"/>
  <c r="Z53" i="1"/>
  <c r="G53" i="1"/>
  <c r="F53" i="1"/>
  <c r="A53" i="1"/>
  <c r="AC52" i="1"/>
  <c r="AB52" i="1"/>
  <c r="AA52" i="1"/>
  <c r="Z52" i="1"/>
  <c r="G52" i="1"/>
  <c r="F52" i="1"/>
  <c r="A52" i="1"/>
  <c r="AC51" i="1"/>
  <c r="AB51" i="1"/>
  <c r="AA51" i="1"/>
  <c r="Z51" i="1"/>
  <c r="G51" i="1"/>
  <c r="F51" i="1"/>
  <c r="A51" i="1"/>
  <c r="AC50" i="1"/>
  <c r="AB50" i="1"/>
  <c r="AA50" i="1"/>
  <c r="Z50" i="1"/>
  <c r="G50" i="1"/>
  <c r="F50" i="1"/>
  <c r="A50" i="1"/>
  <c r="AC49" i="1"/>
  <c r="AB49" i="1"/>
  <c r="AA49" i="1"/>
  <c r="Z49" i="1"/>
  <c r="G49" i="1"/>
  <c r="F49" i="1"/>
  <c r="A49" i="1"/>
  <c r="AC48" i="1"/>
  <c r="AB48" i="1"/>
  <c r="AA48" i="1"/>
  <c r="Z48" i="1"/>
  <c r="G48" i="1"/>
  <c r="F48" i="1"/>
  <c r="A48" i="1"/>
  <c r="AC47" i="1"/>
  <c r="AB47" i="1"/>
  <c r="AA47" i="1"/>
  <c r="Z47" i="1"/>
  <c r="G47" i="1"/>
  <c r="F47" i="1"/>
  <c r="A47" i="1"/>
  <c r="AC46" i="1"/>
  <c r="AB46" i="1"/>
  <c r="AA46" i="1"/>
  <c r="Z46" i="1"/>
  <c r="G46" i="1"/>
  <c r="F46" i="1"/>
  <c r="A46" i="1"/>
  <c r="AC45" i="1"/>
  <c r="AB45" i="1"/>
  <c r="AA45" i="1"/>
  <c r="Z45" i="1"/>
  <c r="G45" i="1"/>
  <c r="F45" i="1"/>
  <c r="A45" i="1"/>
  <c r="AC44" i="1"/>
  <c r="AB44" i="1"/>
  <c r="AA44" i="1"/>
  <c r="Z44" i="1"/>
  <c r="X44" i="1"/>
  <c r="G44" i="1"/>
  <c r="F44" i="1"/>
  <c r="A44" i="1"/>
  <c r="AC43" i="1"/>
  <c r="AB43" i="1"/>
  <c r="AA43" i="1"/>
  <c r="Z43" i="1"/>
  <c r="G43" i="1"/>
  <c r="F43" i="1"/>
  <c r="A43" i="1"/>
  <c r="AC42" i="1"/>
  <c r="AB42" i="1"/>
  <c r="AA42" i="1"/>
  <c r="Z42" i="1"/>
  <c r="G42" i="1"/>
  <c r="F42" i="1"/>
  <c r="A42" i="1"/>
  <c r="AC41" i="1"/>
  <c r="AB41" i="1"/>
  <c r="AA41" i="1"/>
  <c r="Z41" i="1"/>
  <c r="G41" i="1"/>
  <c r="F41" i="1"/>
  <c r="A41" i="1"/>
  <c r="AC40" i="1"/>
  <c r="AB40" i="1"/>
  <c r="AA40" i="1"/>
  <c r="Z40" i="1"/>
  <c r="G40" i="1"/>
  <c r="F40" i="1"/>
  <c r="A40" i="1"/>
  <c r="AC39" i="1"/>
  <c r="AB39" i="1"/>
  <c r="AA39" i="1"/>
  <c r="Z39" i="1"/>
  <c r="G39" i="1"/>
  <c r="F39" i="1"/>
  <c r="A39" i="1"/>
  <c r="AC38" i="1"/>
  <c r="AB38" i="1"/>
  <c r="AA38" i="1"/>
  <c r="Z38" i="1"/>
  <c r="G38" i="1"/>
  <c r="F38" i="1"/>
  <c r="A38" i="1"/>
  <c r="AC37" i="1"/>
  <c r="AB37" i="1"/>
  <c r="AA37" i="1"/>
  <c r="Z37" i="1"/>
  <c r="G37" i="1"/>
  <c r="F37" i="1"/>
  <c r="A37" i="1"/>
  <c r="AC36" i="1"/>
  <c r="AB36" i="1"/>
  <c r="AA36" i="1"/>
  <c r="Z36" i="1"/>
  <c r="G36" i="1"/>
  <c r="F36" i="1"/>
  <c r="A36" i="1"/>
  <c r="AC35" i="1"/>
  <c r="AB35" i="1"/>
  <c r="AA35" i="1"/>
  <c r="Z35" i="1"/>
  <c r="G35" i="1"/>
  <c r="F35" i="1"/>
  <c r="A35" i="1"/>
  <c r="AC34" i="1"/>
  <c r="AB34" i="1"/>
  <c r="AA34" i="1"/>
  <c r="Z34" i="1"/>
  <c r="G34" i="1"/>
  <c r="F34" i="1"/>
  <c r="A34" i="1"/>
  <c r="AC33" i="1"/>
  <c r="AB33" i="1"/>
  <c r="AA33" i="1"/>
  <c r="Z33" i="1"/>
  <c r="X33" i="1"/>
  <c r="G33" i="1"/>
  <c r="F33" i="1"/>
  <c r="A33" i="1"/>
  <c r="AC32" i="1"/>
  <c r="AB32" i="1"/>
  <c r="AA32" i="1"/>
  <c r="Z32" i="1"/>
  <c r="G32" i="1"/>
  <c r="F32" i="1"/>
  <c r="A32" i="1"/>
  <c r="AC31" i="1"/>
  <c r="AB31" i="1"/>
  <c r="AA31" i="1"/>
  <c r="Z31" i="1"/>
  <c r="X31" i="1"/>
  <c r="G31" i="1"/>
  <c r="F31" i="1"/>
  <c r="A31" i="1"/>
  <c r="AC30" i="1"/>
  <c r="AB30" i="1"/>
  <c r="AA30" i="1"/>
  <c r="Z30" i="1"/>
  <c r="G30" i="1"/>
  <c r="F30" i="1"/>
  <c r="A30" i="1"/>
  <c r="AC29" i="1"/>
  <c r="AB29" i="1"/>
  <c r="AA29" i="1"/>
  <c r="Z29" i="1"/>
  <c r="X29" i="1"/>
  <c r="G29" i="1"/>
  <c r="F29" i="1"/>
  <c r="A29" i="1"/>
  <c r="AC28" i="1"/>
  <c r="AB28" i="1"/>
  <c r="AA28" i="1"/>
  <c r="Z28" i="1"/>
  <c r="G28" i="1"/>
  <c r="F28" i="1"/>
  <c r="A28" i="1"/>
  <c r="AC27" i="1"/>
  <c r="AB27" i="1"/>
  <c r="AA27" i="1"/>
  <c r="Z27" i="1"/>
  <c r="X27" i="1"/>
  <c r="G27" i="1"/>
  <c r="F27" i="1"/>
  <c r="A27" i="1"/>
  <c r="AC26" i="1"/>
  <c r="AB26" i="1"/>
  <c r="AA26" i="1"/>
  <c r="Z26" i="1"/>
  <c r="X26" i="1"/>
  <c r="G26" i="1"/>
  <c r="F26" i="1"/>
  <c r="A26" i="1"/>
  <c r="AC25" i="1"/>
  <c r="AB25" i="1"/>
  <c r="AA25" i="1"/>
  <c r="Z25" i="1"/>
  <c r="X25" i="1"/>
  <c r="G25" i="1"/>
  <c r="F25" i="1"/>
  <c r="A25" i="1"/>
  <c r="AC24" i="1"/>
  <c r="AB24" i="1"/>
  <c r="AA24" i="1"/>
  <c r="Z24" i="1"/>
  <c r="X24" i="1"/>
  <c r="G24" i="1"/>
  <c r="F24" i="1"/>
  <c r="A24" i="1"/>
  <c r="AC23" i="1"/>
  <c r="AB23" i="1"/>
  <c r="AA23" i="1"/>
  <c r="Z23" i="1"/>
  <c r="G23" i="1"/>
  <c r="F23" i="1"/>
  <c r="A23" i="1"/>
  <c r="AC22" i="1"/>
  <c r="AB22" i="1"/>
  <c r="AA22" i="1"/>
  <c r="Z22" i="1"/>
  <c r="X22" i="1"/>
  <c r="G22" i="1"/>
  <c r="F22" i="1"/>
  <c r="A22" i="1"/>
  <c r="AC21" i="1"/>
  <c r="AB21" i="1"/>
  <c r="AA21" i="1"/>
  <c r="Z21" i="1"/>
  <c r="X21" i="1"/>
  <c r="G21" i="1"/>
  <c r="F21" i="1"/>
  <c r="A21" i="1"/>
  <c r="AC20" i="1"/>
  <c r="AB20" i="1"/>
  <c r="AA20" i="1"/>
  <c r="Z20" i="1"/>
  <c r="Y20" i="1"/>
  <c r="X20" i="1"/>
  <c r="G20" i="1"/>
  <c r="F20" i="1"/>
  <c r="A20" i="1"/>
  <c r="AC19" i="1"/>
  <c r="AB19" i="1"/>
  <c r="AA19" i="1"/>
  <c r="Z19" i="1"/>
  <c r="Y19" i="1"/>
  <c r="X19" i="1"/>
  <c r="G19" i="1"/>
  <c r="F19" i="1"/>
  <c r="A19" i="1"/>
  <c r="AC18" i="1"/>
  <c r="AB18" i="1"/>
  <c r="AA18" i="1"/>
  <c r="Z18" i="1"/>
  <c r="X18" i="1"/>
  <c r="G18" i="1"/>
  <c r="F18" i="1"/>
  <c r="A18" i="1"/>
  <c r="AC17" i="1"/>
  <c r="Z17" i="1"/>
  <c r="Y17" i="1"/>
  <c r="X17" i="1"/>
  <c r="G17" i="1"/>
  <c r="F17" i="1"/>
  <c r="A17" i="1"/>
  <c r="A3" i="1"/>
  <c r="A1" i="1"/>
</calcChain>
</file>

<file path=xl/sharedStrings.xml><?xml version="1.0" encoding="utf-8"?>
<sst xmlns="http://schemas.openxmlformats.org/spreadsheetml/2006/main" count="71" uniqueCount="70">
  <si>
    <t>タイトル</t>
  </si>
  <si>
    <t>East Leaf マグネット式 LED警告灯 単3電池式 防水シェル 非常信号灯 表示灯 回転 点滅 フラッシュ SOS レッド</t>
  </si>
  <si>
    <t>East Leaf 食器洗剤 ディスペンサー 片手 スポンジホルダー 洗剤ボトル スポンジ5個セット</t>
  </si>
  <si>
    <t>East Leaf パーツケース パーツボックス 36分割 小物収納 仕切り板 小分け ビーズ 透明</t>
  </si>
  <si>
    <t>East Leaf ツールバッグ 工具袋 工具バッグ 工具入れ ポーチ 工具 収納 整理 ３色セット</t>
  </si>
  <si>
    <t>East Leaf キッチン 食器洗い スクラブ スポンジ 生分解性スポンジ 12個セット 環境に優しい天然素材 セルロース ココナッツ由来 吸水性 速乾性 耐久性 抗菌性</t>
  </si>
  <si>
    <t>East Leaf エマージェンシー ブランケット アルミブランケット アルミシート 繰り返し 防寒 軽量 大きめ 非常用 防災 保温 遮熱 防災用品 [ 寝袋型 2セット 213x91cm ]</t>
  </si>
  <si>
    <t>East Leaf ツールバッグ 工具袋 工具バッグ 工具入れ ポーチ 工具 持ち運び 収納 整理 [３色セット 小 20x8x7cm]</t>
  </si>
  <si>
    <t>East Leaf 壁 フック 壁掛けフック 12個セット ステンレス 耐荷重25kg U字 金具 吊り下げ 収納 落下防止 コート 帽子 洋服掛け 玄関 浴室 寝間 キッチン [12個セット] ネジ アタッチメント付き</t>
  </si>
  <si>
    <t>East Leaf コーン ミニ カラーコーン マーカーコーン 18cm 16個セット 軽量 壊れにくい [4色x4個]</t>
  </si>
  <si>
    <t>East Leaf コーン ミニ カラーコーン マーカーコーン 18cm 25個セット 軽量 壊れにくい</t>
  </si>
  <si>
    <t>East Leaf ウィッグ ロング ストレート フルウィッグ 耐熱 自然 コスプレ 普段使い ウィッグネット付き 黒</t>
  </si>
  <si>
    <t>East Leaf すきま風防止 シーリング テープ パッキン 戸当たり ドア 窓 省エネ 冷暖房 効率アップ 花粉 ホコリ 虫 侵入 防止 防音 シリコーン製 (全長6m 9mm(幅)x6mm(厚さ), グレー)</t>
  </si>
  <si>
    <t>East Leaf 野球 バッティング トレーニングボール ウレタン 練習 ボール トス ティーバッティング 変化球 対策 軽量 柔らかいイエロー 72mm 10個入り 収納袋付</t>
  </si>
  <si>
    <t>East Leaf 腕時計 スタンド ウォッチ アクセサリー 置き 収納 おしゃれ ディスプレイ 飾り ジュエリー 指輪 バングル ブレスレット [ 老執事 5x6x12cm ] クッション付</t>
  </si>
  <si>
    <t>East Leaf サイバーパンク 光るメガネ LED サイバーグラス ゴーグル おもしろめがね パーティー グラス コスプレ 近未来 [ 7色 多彩 11モード ]</t>
  </si>
  <si>
    <t>East Leaf 垢すりタオル 垢すりミトン セット 角質取り 美肌 体臭ケア ツルすべ肌 男女兼用 ブルー フック付</t>
  </si>
  <si>
    <t>ピンチハンガー 携帯ハンガー 洗濯ばさみ 折り畳み 旅行 出張 入院 便利グッズ ブラック＆グレー 2個セット</t>
  </si>
  <si>
    <t>East Leaf アクアリウム 人工水草 オーナメント 水槽 隠れ家 フェイク 装飾 金魚 熱帯魚 3種4個セット</t>
  </si>
  <si>
    <t>East Leaf 溶接マグネット 溶接ホルダー 溶接 補助器具   45度 90度 135度 180度 4個 セット</t>
  </si>
  <si>
    <t>East Leaf 蛇口 シャワー ヘッド ノズル 水道 キッチン 160度首振り 360度全方向回転 3モード切り替え</t>
  </si>
  <si>
    <t>East Leaf タペストリー棒 ポスターハンガー マグネット 壁掛け 和風 インテリア 木製 40cm 2点セット</t>
  </si>
  <si>
    <t>シークレットインソール 3.5cm</t>
  </si>
  <si>
    <t>East Leaf ラッピングボックス ギフトボックス 箱 アクセサリー プレゼント 包装 7x9x3cm 12個セット</t>
  </si>
  <si>
    <t>East Leaf 自転車 ミラー バックミラー バーエンドミラー 360°回転 ロードバイク ママチャリ バンド式</t>
  </si>
  <si>
    <t>East Leaf クリスタルボール サンキャッチャー 材料 雫型 プリズム カラフル 20mm 20個 セット 穴付</t>
  </si>
  <si>
    <t>East Leaf  薬ケース 薬入れ ピルケース ニトロケース 小物入れ チタン 小型 携帯用 防水 緊急 応急処置 飲み忘れ防止 カラビナ ネックレス 付</t>
  </si>
  <si>
    <t>East Leaf ベビーカー ドリンクホルダー カップホルダー 2個置き + スマホホルダー 付き 哺乳瓶 ペットボトル 360˚ 回転 2in1 黒</t>
  </si>
  <si>
    <t>East Leaf ベビーカー ドリンクホルダー 2個置き + スマホホルダー ベビーカーフック  セット 黒 哺乳瓶 ペットボトル 360˚ 回転 2in1</t>
  </si>
  <si>
    <t>East Leaf  ワッペンホルダー ミリタリー ワッペン ディスプレイ パッチホルダー ボード マジックテープ式 ブラック</t>
  </si>
  <si>
    <t>East Leaf 野球 サインボールケース アクリル サインボール ディスプレイケース ホームランボールケース 野球ボールケース 6個セット UVカット付き</t>
  </si>
  <si>
    <t>East Leaf 洗濯機カバー 屋外 防水 防塵 防UV 5年 3面 バックル付き シルバー (52x53x86cm (4.5-5.5kg))</t>
  </si>
  <si>
    <t>East Leaf 紙袋 手提げ袋 ラッピング 袋 ギフトラッピング プレゼント ギフト 包装 3枚セット 青 リボン付き</t>
  </si>
  <si>
    <t>East Leaf クリスタルボール サンキャッチャー 材料 雫型 プリズム カラフル 30mm 10色12個 セット 穴あり</t>
  </si>
  <si>
    <t>East Leaf フェルトニードル フェルティングニードル 羊毛フェルト 針 8本 木製 フェルトニードルホルダー 指サック 初心者 キット</t>
  </si>
  <si>
    <t>East Leaf ジュエリートレイ アクセサリー トレイ 指輪置き メガネ 腕時計 トレー ディスプレイ 業務用 プロ仕様 [ スエード 24xm14x3cm グレー ]</t>
  </si>
  <si>
    <t>East Leaf 誕生日 飾り バースデー タペストリー ガーランド シンプル ナチュラル バナー フェルト ( ピンク (Happy Birhtday + Cake + 数字バナー）)</t>
  </si>
  <si>
    <t>East Leaf ビーズケース ネイル ネジ ピアス 小物 収納 パーツケース 小分けケース キャビネット [ 透明 小分け容器 30個入り ]</t>
  </si>
  <si>
    <t>East Leaf 手帳 6穴 a5 バインダー システム手帳 ビジネス手帳 ルーズリーフ 100ページ カードポケット ペンホルダー 付 黒</t>
  </si>
  <si>
    <t>East Leaf メダルスタンド ディスプレイスタンド 透明 アクリル 缶バッジ コイン トレカ 小物 展示用スタンド 30個セット</t>
  </si>
  <si>
    <t>East Leaf 猫 爪研ぎ 防止 シート 壁 柱 ソファ 保護シート 保護 透明 剥がせる 15×30cm シート×6、固定用ピン×20</t>
  </si>
  <si>
    <t>East Leaf 猫 爪研ぎ 防止 シート 壁 柱 ソファ 保護シート 保護 透明 剥がせる 20×300cm シート×1、固定用ピン×200</t>
  </si>
  <si>
    <t>East Leaf ケンケンパ リング ラダー トレーニングリング スピードリング アジリティ トレーニング エクササイズ 練習 [ 直径28cm 20個入り ジョイント 収納袋付き ]</t>
  </si>
  <si>
    <t>East Leaf 救急箱 薬箱 薬ケース 薬入れ 3段 ツールボックス 工具箱 収納箱 大容量 おしゃれ 透明 取っ手 白 大</t>
  </si>
  <si>
    <t>East Leaf 救急箱 薬箱 薬ケース 薬入れ 3段 ツールボックス 工具箱 収納箱 大容量 おしゃれ 透明 取っ手 青 中</t>
  </si>
  <si>
    <t>East Leaf ジュエリーロール ネックレス収納ケース 16本収納可能 ホワイト PUレザー トラベル 出張</t>
  </si>
  <si>
    <t>East Leaf ワイヤーバスケット スパイスボックス 壁掛け 見せる収納 卓上 キッチン 小物入れ スチール フック付き</t>
  </si>
  <si>
    <t>East Leaf 握力 グリップ ハンドグリップ 指 手 トレーニング リハビリ 介護用品 子供 女性 高齢者 ゴム セット (2種2個セット)</t>
  </si>
  <si>
    <t>East Leaf 車用 ドリンクホルダー トレイ付き カップホルダー 回転式 車内収納 小物置き 工具不要 取付簡単 ブラック</t>
  </si>
  <si>
    <t>East Leaf ピルケース 1ヶ月 大容量 薬ケース 薬入れ お薬 保管 小分け 飲み忘れ防止 携帯用 持ち運び 2点セット</t>
  </si>
  <si>
    <t>East Leaf 洗濯機カバー 屋外 防水 防塵 ベランダ対応 UVカット 6.8-8kg対応 上開き式 3面 バックル グリーン</t>
  </si>
  <si>
    <t>East Leaf 洗濯機カバー 屋外 防水 防塵 ベランダ対応 UVカット 6.8-8kg対応 上開き式 3面 バックル ねこ</t>
  </si>
  <si>
    <t>East Leaf カードスタンド 名刺スタンド カード立て ステンレス 卓上 おしゃれ ショップカード 美容室 受付 スマホスタンドにも [ ローズゴールド 1個 ]</t>
  </si>
  <si>
    <t>East Leaf バイク グリップ バイクハンドル バーエンド 付き アルミ (オレンジ)</t>
  </si>
  <si>
    <t>East Leaf バイク グリップ バイクハンドル バーエンド 付き アルミ (レッド)</t>
  </si>
  <si>
    <t>East Leaf ゴルフ練習ネット アプローチ練習 室内 屋外対応 練習器具 セット 練習ボール20個 折りたたみ式 パター ゴルフネット (ブラック)</t>
  </si>
  <si>
    <t>East Leaf 車 タブレットホルダー 吸盤式 スタンド iPad対応 車載 ホルダー 伸縮アーム 角度調整 ブラック</t>
  </si>
  <si>
    <t>East Leaf 防水シーツ 使い捨て 不織布 業務用 エステサロン 介護 80×180cm 25枚入り 白 穴無し</t>
  </si>
  <si>
    <t>East Leaf 防水シーツ 使い捨て 不織布 業務用 エステサロン 介護 100×200cm 50枚入り 白 穴無し</t>
  </si>
  <si>
    <t>East Leaf 垢すりタオル ミトン セット 全身角質除去 痛くないボディスクラブ 手袋タイプ メンズ兼用 日本企画 敏感肌対応 ピンク</t>
  </si>
  <si>
    <t>East Leaf ケルヒャー ノズル 5段階高圧洗浄機 回転式 洗車 1/4インチクイックカプラー K MINI K2～K7 JTK 対応</t>
  </si>
  <si>
    <t>East Leaf スイッチ2 ドック用 ダストカバー 防塵 撥水 布/メッシュ/透明 選べる4色 Joy-Con装着のままカバー可 28.8×14.8×6.5cm 黒</t>
  </si>
  <si>
    <t>East Leaf チャック袋 小分け 5×7cm 100枚 ジッパー付き 小物 仕分け 整理 収納 小袋 ラッピング サンプル配布 ハンドメイド まとめ買い 再封可能</t>
  </si>
  <si>
    <t>East Leaf チャック袋 小分け 6×8cm 100枚 ジッパー付き 小物 仕分け 整理 収納 小袋 ラッピング サンプル配布 ハンドメイド まとめ買い 再封可能</t>
  </si>
  <si>
    <t>East Leaf チャック袋 小分け 8×12cm 100枚 ジッパー付き 小物 仕分け 整理 収納 小袋 ラッピング サンプル配布 ハンドメイド まとめ買い 再封可能</t>
  </si>
  <si>
    <t>East Leaf ポーカーチップ カジノチップ 50 面値 単品 100枚 数字あり ケース付 プラスチック マージャン トークン カードゲーム用</t>
  </si>
  <si>
    <t>East Leaf ポーカーチップ カジノチップ 100 面値 単品 100枚 数字あり ケース付 プラスチック マージャン トークン カードゲーム用</t>
  </si>
  <si>
    <t>East Leaf 名刺スタンド カードスタンド 名刺 ホルダー アクリル ディスプレイ 横置き [1列3段 クリア]</t>
  </si>
  <si>
    <t>East Leaf ポーカーチップ カジノチップ 10 面値 単品 100枚 数字あり ケース付 プラスチック マージャン トークン カードゲーム用</t>
  </si>
  <si>
    <t>East Leaf ポーカーチップ カジノチップ 20 面値 単品 100枚 数字あり ケース付 プラスチック マージャン トークン カードゲーム用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</si>
</sst>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_ "/>
    <numFmt numFmtId="178" formatCode="yyyy/mm/dd"/>
    <numFmt numFmtId="179" formatCode="&quot;No.&quot;\ 0"/>
    <numFmt numFmtId="180" formatCode="0.0%"/>
    <numFmt numFmtId="181" formatCode="m/d"/>
  </numFmts>
  <fonts count="5">
    <font>
      <sz val="10"/>
      <color rgb="FF000000"/>
      <name val="Arial"/>
      <family val="2"/>
      <scheme val="minor"/>
    </font>
    <font>
      <sz val="11"/>
      <color rgb="FFFF4102"/>
      <name val="Murecho"/>
    </font>
    <font>
      <sz val="6"/>
      <name val="Arial"/>
      <family val="3"/>
      <charset val="128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176" fontId="3" fillId="0" borderId="0" xfId="0" applyNumberFormat="1" applyFont="1"/>
    <xf numFmtId="177" fontId="3" fillId="0" borderId="0" xfId="0" applyNumberFormat="1" applyFont="1"/>
    <xf numFmtId="38" fontId="3" fillId="0" borderId="0" xfId="0" applyNumberFormat="1" applyFont="1"/>
    <xf numFmtId="178" fontId="3" fillId="0" borderId="0" xfId="0" applyNumberFormat="1" applyFont="1"/>
    <xf numFmtId="179" fontId="3" fillId="0" borderId="0" xfId="0" applyNumberFormat="1" applyFont="1"/>
    <xf numFmtId="1" fontId="3" fillId="0" borderId="0" xfId="0" applyNumberFormat="1" applyFont="1"/>
    <xf numFmtId="180" fontId="3" fillId="0" borderId="0" xfId="0" applyNumberFormat="1" applyFont="1"/>
    <xf numFmtId="0" fontId="4" fillId="0" borderId="0" xfId="0" applyFont="1"/>
    <xf numFmtId="181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link\Downloads\&#21407;&#20385;&#35336;&#31639;&#12469;&#12531;&#12503;&#12523;&#36039;&#26009;\&#21407;&#20385;&#35336;&#31639;%20&#20363;.xlsx" TargetMode="External"/><Relationship Id="rId1" Type="http://schemas.openxmlformats.org/officeDocument/2006/relationships/externalLinkPath" Target="&#21407;&#20385;&#35336;&#31639;%20&#2036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原価計算"/>
      <sheetName val="Jancode"/>
      <sheetName val="為替"/>
      <sheetName val="支払い記録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C2D1-99B7-4938-92A4-B0AAB9167412}">
  <sheetPr>
    <outlinePr summaryBelow="0" summaryRight="0"/>
  </sheetPr>
  <dimension ref="A1:AM101"/>
  <sheetViews>
    <sheetView tabSelected="1" topLeftCell="A92" workbookViewId="0">
      <selection activeCell="E103" sqref="E103"/>
    </sheetView>
  </sheetViews>
  <sheetFormatPr defaultColWidth="12.59765625" defaultRowHeight="15.75" customHeight="1"/>
  <sheetData>
    <row r="1" spans="1:38" ht="13.5">
      <c r="A1" s="1" t="str">
        <f ca="1">IFERROR(__xludf.DUMMYFUNCTION("importrange(""https://docs.google.com/spreadsheets/d/1k1m76vV-uIf2EEmhRUFGx7PZ8qrofg3bNnfJGvyQpAc/edit?gid=19088387#gid=19088387"",""'Jancode'!A1:AL1015"")"),"")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2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ht="12.75">
      <c r="A3" s="2" t="str">
        <f ca="1">IFERROR(__xludf.DUMMYFUNCTION("""COMPUTED_VALUE"""),"■ アイテム番号 No.1 を使った検算・計算の仕組み")</f>
        <v>■ アイテム番号 No.1 を使った検算・計算の仕組み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2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ht="12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2.75">
      <c r="A6" s="2"/>
      <c r="B6" s="2"/>
      <c r="C6" s="2"/>
      <c r="D6" s="2"/>
      <c r="E6" s="2"/>
      <c r="F6" s="2"/>
      <c r="G6" s="2"/>
      <c r="H6" s="2"/>
      <c r="I6" s="4"/>
      <c r="J6" s="2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ht="12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ht="12.75">
      <c r="A8" s="2"/>
      <c r="B8" s="2"/>
      <c r="C8" s="2"/>
      <c r="D8" s="2"/>
      <c r="E8" s="2"/>
      <c r="F8" s="2"/>
      <c r="G8" s="2"/>
      <c r="H8" s="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ht="12.75">
      <c r="A9" s="2"/>
      <c r="B9" s="2"/>
      <c r="C9" s="2"/>
      <c r="D9" s="2"/>
      <c r="E9" s="2"/>
      <c r="F9" s="2"/>
      <c r="G9" s="2"/>
      <c r="H9" s="2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ht="12.75">
      <c r="A10" s="2"/>
      <c r="B10" s="2"/>
      <c r="C10" s="2"/>
      <c r="D10" s="2"/>
      <c r="E10" s="2"/>
      <c r="F10" s="2"/>
      <c r="G10" s="2"/>
      <c r="H10" s="2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2.75">
      <c r="A11" s="2"/>
      <c r="B11" s="2"/>
      <c r="C11" s="2"/>
      <c r="D11" s="2"/>
      <c r="E11" s="2"/>
      <c r="F11" s="2"/>
      <c r="G11" s="2"/>
      <c r="H11" s="2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2.75">
      <c r="A12" s="2"/>
      <c r="B12" s="2"/>
      <c r="C12" s="2"/>
      <c r="D12" s="2"/>
      <c r="E12" s="2"/>
      <c r="F12" s="2"/>
      <c r="G12" s="2"/>
      <c r="H12" s="2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2.75">
      <c r="A13" s="2"/>
      <c r="B13" s="2"/>
      <c r="C13" s="2"/>
      <c r="D13" s="2"/>
      <c r="E13" s="2"/>
      <c r="F13" s="2"/>
      <c r="G13" s="2"/>
      <c r="H13" s="2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12.75">
      <c r="A14" s="2"/>
      <c r="B14" s="2"/>
      <c r="C14" s="2"/>
      <c r="D14" s="2"/>
      <c r="E14" s="2"/>
      <c r="F14" s="2"/>
      <c r="G14" s="2"/>
      <c r="H14" s="2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2.75">
      <c r="A15" s="2"/>
      <c r="B15" s="2"/>
      <c r="C15" s="2"/>
      <c r="D15" s="2"/>
      <c r="E15" s="2"/>
      <c r="F15" s="2"/>
      <c r="G15" s="2"/>
      <c r="H15" s="2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12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2.75">
      <c r="A17" s="2" t="str">
        <f ca="1">IFERROR(__xludf.DUMMYFUNCTION("""COMPUTED_VALUE"""),"No.")</f>
        <v>No.</v>
      </c>
      <c r="B17" s="2"/>
      <c r="C17" s="2"/>
      <c r="D17" s="2"/>
      <c r="E17" s="6"/>
      <c r="F17" s="2" t="str">
        <f ca="1">IFERROR(__xludf.DUMMYFUNCTION("""COMPUTED_VALUE"""),"ASIN")</f>
        <v>ASIN</v>
      </c>
      <c r="G17" s="2" t="str">
        <f ca="1">IFERROR(__xludf.DUMMYFUNCTION("""COMPUTED_VALUE"""),"SKU")</f>
        <v>SKU</v>
      </c>
      <c r="H17" s="2"/>
      <c r="I17" s="2" t="s"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 ca="1">IFERROR(__xludf.DUMMYFUNCTION("""COMPUTED_VALUE"""),"発送重量（KG）")</f>
        <v>発送重量（KG）</v>
      </c>
      <c r="Y17" s="2" t="str">
        <f ca="1">IFERROR(__xludf.DUMMYFUNCTION("""COMPUTED_VALUE"""),"サイズ区分")</f>
        <v>サイズ区分</v>
      </c>
      <c r="Z17" s="2" t="str">
        <f ca="1">IFERROR(__xludf.DUMMYFUNCTION("""COMPUTED_VALUE"""),"包装の寸法（ＣＭ）")</f>
        <v>包装の寸法（ＣＭ）</v>
      </c>
      <c r="AA17" s="2"/>
      <c r="AB17" s="2"/>
      <c r="AC17" s="2" t="str">
        <f ca="1">IFERROR(__xludf.DUMMYFUNCTION("""COMPUTED_VALUE"""),"寸法3辺合計")</f>
        <v>寸法3辺合計</v>
      </c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2.75">
      <c r="A18" s="7">
        <f ca="1">IFERROR(__xludf.DUMMYFUNCTION("""COMPUTED_VALUE"""),33)</f>
        <v>33</v>
      </c>
      <c r="B18" s="2"/>
      <c r="C18" s="4"/>
      <c r="D18" s="2"/>
      <c r="E18" s="2"/>
      <c r="F18" s="2" t="str">
        <f ca="1">IFERROR(__xludf.DUMMYFUNCTION("""COMPUTED_VALUE"""),"B0B8SHXJGR")</f>
        <v>B0B8SHXJGR</v>
      </c>
      <c r="G18" s="2" t="str">
        <f ca="1">IFERROR(__xludf.DUMMYFUNCTION("""COMPUTED_VALUE"""),"C33_141_327")</f>
        <v>C33_141_327</v>
      </c>
      <c r="H18" s="2"/>
      <c r="I18" s="2" t="s">
        <v>1</v>
      </c>
      <c r="J18" s="2"/>
      <c r="K18" s="2"/>
      <c r="L18" s="2"/>
      <c r="M18" s="2"/>
      <c r="N18" s="2"/>
      <c r="O18" s="2"/>
      <c r="P18" s="8"/>
      <c r="Q18" s="8"/>
      <c r="R18" s="9"/>
      <c r="S18" s="2"/>
      <c r="T18" s="2"/>
      <c r="U18" s="2"/>
      <c r="V18" s="2"/>
      <c r="W18" s="2"/>
      <c r="X18" s="2">
        <f ca="1">IFERROR(__xludf.DUMMYFUNCTION("""COMPUTED_VALUE"""),0.12)</f>
        <v>0.12</v>
      </c>
      <c r="Y18" s="2"/>
      <c r="Z18" s="2">
        <f ca="1">IFERROR(__xludf.DUMMYFUNCTION("""COMPUTED_VALUE"""),11.2)</f>
        <v>11.2</v>
      </c>
      <c r="AA18" s="2">
        <f ca="1">IFERROR(__xludf.DUMMYFUNCTION("""COMPUTED_VALUE"""),10.8)</f>
        <v>10.8</v>
      </c>
      <c r="AB18" s="2">
        <f ca="1">IFERROR(__xludf.DUMMYFUNCTION("""COMPUTED_VALUE"""),5.69)</f>
        <v>5.69</v>
      </c>
      <c r="AC18" s="2">
        <f ca="1">IFERROR(__xludf.DUMMYFUNCTION("""COMPUTED_VALUE"""),27.69)</f>
        <v>27.69</v>
      </c>
      <c r="AD18" s="2"/>
      <c r="AE18" s="2"/>
      <c r="AF18" s="10"/>
      <c r="AG18" s="10"/>
      <c r="AH18" s="10"/>
      <c r="AI18" s="10"/>
      <c r="AJ18" s="10"/>
      <c r="AK18" s="10"/>
      <c r="AL18" s="2"/>
    </row>
    <row r="19" spans="1:38" ht="12.75">
      <c r="A19" s="7">
        <f ca="1">IFERROR(__xludf.DUMMYFUNCTION("""COMPUTED_VALUE"""),107)</f>
        <v>107</v>
      </c>
      <c r="B19" s="2"/>
      <c r="C19" s="4"/>
      <c r="D19" s="2"/>
      <c r="E19" s="2"/>
      <c r="F19" s="2" t="str">
        <f ca="1">IFERROR(__xludf.DUMMYFUNCTION("""COMPUTED_VALUE"""),"B0BKFPCNQ6")</f>
        <v>B0BKFPCNQ6</v>
      </c>
      <c r="G19" s="2" t="str">
        <f ca="1">IFERROR(__xludf.DUMMYFUNCTION("""COMPUTED_VALUE"""),"C107_278_150")</f>
        <v>C107_278_150</v>
      </c>
      <c r="H19" s="2"/>
      <c r="I19" s="2" t="s">
        <v>2</v>
      </c>
      <c r="J19" s="2"/>
      <c r="K19" s="2"/>
      <c r="L19" s="2"/>
      <c r="M19" s="2"/>
      <c r="N19" s="2"/>
      <c r="O19" s="2"/>
      <c r="P19" s="8"/>
      <c r="Q19" s="8"/>
      <c r="R19" s="9"/>
      <c r="S19" s="2"/>
      <c r="T19" s="2"/>
      <c r="U19" s="2"/>
      <c r="V19" s="2"/>
      <c r="W19" s="2"/>
      <c r="X19" s="2">
        <f ca="1">IFERROR(__xludf.DUMMYFUNCTION("""COMPUTED_VALUE"""),0.23)</f>
        <v>0.23</v>
      </c>
      <c r="Y19" s="2" t="str">
        <f ca="1">IFERROR(__xludf.DUMMYFUNCTION("""COMPUTED_VALUE"""),"標準2")</f>
        <v>標準2</v>
      </c>
      <c r="Z19" s="2">
        <f ca="1">IFERROR(__xludf.DUMMYFUNCTION("""COMPUTED_VALUE"""),19.8)</f>
        <v>19.8</v>
      </c>
      <c r="AA19" s="2">
        <f ca="1">IFERROR(__xludf.DUMMYFUNCTION("""COMPUTED_VALUE"""),16.9)</f>
        <v>16.899999999999999</v>
      </c>
      <c r="AB19" s="2">
        <f ca="1">IFERROR(__xludf.DUMMYFUNCTION("""COMPUTED_VALUE"""),12.4)</f>
        <v>12.4</v>
      </c>
      <c r="AC19" s="2">
        <f ca="1">IFERROR(__xludf.DUMMYFUNCTION("""COMPUTED_VALUE"""),49.1)</f>
        <v>49.1</v>
      </c>
      <c r="AD19" s="2"/>
      <c r="AE19" s="2"/>
      <c r="AF19" s="10"/>
      <c r="AG19" s="10"/>
      <c r="AH19" s="2"/>
      <c r="AI19" s="10"/>
      <c r="AJ19" s="10"/>
      <c r="AK19" s="2"/>
      <c r="AL19" s="2"/>
    </row>
    <row r="20" spans="1:38" ht="12.75">
      <c r="A20" s="7">
        <f ca="1">IFERROR(__xludf.DUMMYFUNCTION("""COMPUTED_VALUE"""),112)</f>
        <v>112</v>
      </c>
      <c r="B20" s="2"/>
      <c r="C20" s="4"/>
      <c r="D20" s="2"/>
      <c r="E20" s="2"/>
      <c r="F20" s="2" t="str">
        <f ca="1">IFERROR(__xludf.DUMMYFUNCTION("""COMPUTED_VALUE"""),"B0BKFS9N54")</f>
        <v>B0BKFS9N54</v>
      </c>
      <c r="G20" s="2" t="str">
        <f ca="1">IFERROR(__xludf.DUMMYFUNCTION("""COMPUTED_VALUE"""),"C112_287_98")</f>
        <v>C112_287_98</v>
      </c>
      <c r="H20" s="2"/>
      <c r="I20" s="2" t="s">
        <v>3</v>
      </c>
      <c r="J20" s="2"/>
      <c r="K20" s="2"/>
      <c r="L20" s="2"/>
      <c r="M20" s="2"/>
      <c r="N20" s="2"/>
      <c r="O20" s="2"/>
      <c r="P20" s="8"/>
      <c r="Q20" s="8"/>
      <c r="R20" s="9"/>
      <c r="S20" s="2"/>
      <c r="T20" s="2"/>
      <c r="U20" s="2"/>
      <c r="V20" s="2"/>
      <c r="W20" s="2"/>
      <c r="X20" s="2">
        <f ca="1">IFERROR(__xludf.DUMMYFUNCTION("""COMPUTED_VALUE"""),0.295)</f>
        <v>0.29499999999999998</v>
      </c>
      <c r="Y20" s="2" t="str">
        <f ca="1">IFERROR(__xludf.DUMMYFUNCTION("""COMPUTED_VALUE"""),"標準2")</f>
        <v>標準2</v>
      </c>
      <c r="Z20" s="2">
        <f ca="1">IFERROR(__xludf.DUMMYFUNCTION("""COMPUTED_VALUE"""),29.1)</f>
        <v>29.1</v>
      </c>
      <c r="AA20" s="2">
        <f ca="1">IFERROR(__xludf.DUMMYFUNCTION("""COMPUTED_VALUE"""),21.3)</f>
        <v>21.3</v>
      </c>
      <c r="AB20" s="2">
        <f ca="1">IFERROR(__xludf.DUMMYFUNCTION("""COMPUTED_VALUE"""),4.8)</f>
        <v>4.8</v>
      </c>
      <c r="AC20" s="2">
        <f ca="1">IFERROR(__xludf.DUMMYFUNCTION("""COMPUTED_VALUE"""),55.2)</f>
        <v>55.2</v>
      </c>
      <c r="AD20" s="2"/>
      <c r="AE20" s="2"/>
      <c r="AF20" s="10"/>
      <c r="AG20" s="10"/>
      <c r="AH20" s="2"/>
      <c r="AI20" s="10"/>
      <c r="AJ20" s="10"/>
      <c r="AK20" s="2"/>
      <c r="AL20" s="2"/>
    </row>
    <row r="21" spans="1:38" ht="12.75">
      <c r="A21" s="7">
        <f ca="1">IFERROR(__xludf.DUMMYFUNCTION("""COMPUTED_VALUE"""),121)</f>
        <v>121</v>
      </c>
      <c r="B21" s="2"/>
      <c r="C21" s="4"/>
      <c r="D21" s="2"/>
      <c r="E21" s="2"/>
      <c r="F21" s="2" t="str">
        <f ca="1">IFERROR(__xludf.DUMMYFUNCTION("""COMPUTED_VALUE"""),"B0BNZ5M69K")</f>
        <v>B0BNZ5M69K</v>
      </c>
      <c r="G21" s="2" t="str">
        <f ca="1">IFERROR(__xludf.DUMMYFUNCTION("""COMPUTED_VALUE"""),"C121_306_333")</f>
        <v>C121_306_333</v>
      </c>
      <c r="H21" s="2"/>
      <c r="I21" s="2" t="s">
        <v>4</v>
      </c>
      <c r="J21" s="2"/>
      <c r="K21" s="2"/>
      <c r="L21" s="2"/>
      <c r="M21" s="2"/>
      <c r="N21" s="2"/>
      <c r="O21" s="2"/>
      <c r="P21" s="8"/>
      <c r="Q21" s="8"/>
      <c r="R21" s="9"/>
      <c r="S21" s="2"/>
      <c r="T21" s="2"/>
      <c r="U21" s="2"/>
      <c r="V21" s="2"/>
      <c r="W21" s="2"/>
      <c r="X21" s="2">
        <f ca="1">IFERROR(__xludf.DUMMYFUNCTION("""COMPUTED_VALUE"""),0.23)</f>
        <v>0.23</v>
      </c>
      <c r="Y21" s="2"/>
      <c r="Z21" s="2">
        <f ca="1">IFERROR(__xludf.DUMMYFUNCTION("""COMPUTED_VALUE"""),28.4)</f>
        <v>28.4</v>
      </c>
      <c r="AA21" s="2">
        <f ca="1">IFERROR(__xludf.DUMMYFUNCTION("""COMPUTED_VALUE"""),21.9)</f>
        <v>21.9</v>
      </c>
      <c r="AB21" s="2">
        <f ca="1">IFERROR(__xludf.DUMMYFUNCTION("""COMPUTED_VALUE"""),2.6)</f>
        <v>2.6</v>
      </c>
      <c r="AC21" s="2">
        <f ca="1">IFERROR(__xludf.DUMMYFUNCTION("""COMPUTED_VALUE"""),52.9)</f>
        <v>52.9</v>
      </c>
      <c r="AD21" s="2"/>
      <c r="AE21" s="2"/>
      <c r="AF21" s="10"/>
      <c r="AG21" s="2"/>
      <c r="AH21" s="2"/>
      <c r="AI21" s="10"/>
      <c r="AJ21" s="10"/>
      <c r="AK21" s="2"/>
      <c r="AL21" s="2"/>
    </row>
    <row r="22" spans="1:38" ht="12.75">
      <c r="A22" s="7">
        <f ca="1">IFERROR(__xludf.DUMMYFUNCTION("""COMPUTED_VALUE"""),149)</f>
        <v>149</v>
      </c>
      <c r="B22" s="2"/>
      <c r="C22" s="4"/>
      <c r="D22" s="2"/>
      <c r="E22" s="2"/>
      <c r="F22" s="2" t="str">
        <f ca="1">IFERROR(__xludf.DUMMYFUNCTION("""COMPUTED_VALUE"""),"B0BWS91FZR")</f>
        <v>B0BWS91FZR</v>
      </c>
      <c r="G22" s="2" t="str">
        <f ca="1">IFERROR(__xludf.DUMMYFUNCTION("""COMPUTED_VALUE"""),"C149_356_362")</f>
        <v>C149_356_362</v>
      </c>
      <c r="H22" s="2"/>
      <c r="I22" s="2" t="s">
        <v>5</v>
      </c>
      <c r="J22" s="2"/>
      <c r="K22" s="2"/>
      <c r="L22" s="2"/>
      <c r="M22" s="2"/>
      <c r="N22" s="2"/>
      <c r="O22" s="2"/>
      <c r="P22" s="8"/>
      <c r="Q22" s="8"/>
      <c r="R22" s="9"/>
      <c r="S22" s="2"/>
      <c r="T22" s="2"/>
      <c r="U22" s="2"/>
      <c r="V22" s="2"/>
      <c r="W22" s="2"/>
      <c r="X22" s="2">
        <f ca="1">IFERROR(__xludf.DUMMYFUNCTION("""COMPUTED_VALUE"""),0.39)</f>
        <v>0.39</v>
      </c>
      <c r="Y22" s="2"/>
      <c r="Z22" s="2">
        <f ca="1">IFERROR(__xludf.DUMMYFUNCTION("""COMPUTED_VALUE"""),28.3)</f>
        <v>28.3</v>
      </c>
      <c r="AA22" s="2">
        <f ca="1">IFERROR(__xludf.DUMMYFUNCTION("""COMPUTED_VALUE"""),13)</f>
        <v>13</v>
      </c>
      <c r="AB22" s="2">
        <f ca="1">IFERROR(__xludf.DUMMYFUNCTION("""COMPUTED_VALUE"""),8.1)</f>
        <v>8.1</v>
      </c>
      <c r="AC22" s="2">
        <f ca="1">IFERROR(__xludf.DUMMYFUNCTION("""COMPUTED_VALUE"""),49.4)</f>
        <v>49.4</v>
      </c>
      <c r="AD22" s="2"/>
      <c r="AE22" s="2"/>
      <c r="AF22" s="2"/>
      <c r="AG22" s="2"/>
      <c r="AH22" s="2"/>
      <c r="AI22" s="10"/>
      <c r="AJ22" s="10"/>
      <c r="AK22" s="2"/>
      <c r="AL22" s="2"/>
    </row>
    <row r="23" spans="1:38" ht="12.75">
      <c r="A23" s="7">
        <f ca="1">IFERROR(__xludf.DUMMYFUNCTION("""COMPUTED_VALUE"""),168)</f>
        <v>168</v>
      </c>
      <c r="B23" s="2"/>
      <c r="C23" s="4"/>
      <c r="D23" s="2"/>
      <c r="E23" s="6"/>
      <c r="F23" s="2" t="str">
        <f ca="1">IFERROR(__xludf.DUMMYFUNCTION("""COMPUTED_VALUE"""),"B0DDPDTVFC")</f>
        <v>B0DDPDTVFC</v>
      </c>
      <c r="G23" s="2" t="str">
        <f ca="1">IFERROR(__xludf.DUMMYFUNCTION("""COMPUTED_VALUE"""),"C168_1262")</f>
        <v>C168_1262</v>
      </c>
      <c r="H23" s="2"/>
      <c r="I23" s="2" t="s">
        <v>6</v>
      </c>
      <c r="J23" s="2"/>
      <c r="K23" s="2"/>
      <c r="L23" s="2"/>
      <c r="M23" s="2"/>
      <c r="N23" s="2"/>
      <c r="O23" s="2"/>
      <c r="P23" s="8"/>
      <c r="Q23" s="8"/>
      <c r="R23" s="9"/>
      <c r="S23" s="2"/>
      <c r="T23" s="2"/>
      <c r="U23" s="2"/>
      <c r="V23" s="2"/>
      <c r="W23" s="2"/>
      <c r="X23" s="2"/>
      <c r="Y23" s="2"/>
      <c r="Z23" s="2">
        <f ca="1">IFERROR(__xludf.DUMMYFUNCTION("""COMPUTED_VALUE"""),21.2)</f>
        <v>21.2</v>
      </c>
      <c r="AA23" s="2">
        <f ca="1">IFERROR(__xludf.DUMMYFUNCTION("""COMPUTED_VALUE"""),14.6)</f>
        <v>14.6</v>
      </c>
      <c r="AB23" s="2">
        <f ca="1">IFERROR(__xludf.DUMMYFUNCTION("""COMPUTED_VALUE"""),2.5)</f>
        <v>2.5</v>
      </c>
      <c r="AC23" s="2">
        <f ca="1">IFERROR(__xludf.DUMMYFUNCTION("""COMPUTED_VALUE"""),38.3)</f>
        <v>38.299999999999997</v>
      </c>
      <c r="AD23" s="2"/>
      <c r="AE23" s="2"/>
      <c r="AF23" s="2"/>
      <c r="AG23" s="10"/>
      <c r="AH23" s="10"/>
      <c r="AI23" s="10"/>
      <c r="AJ23" s="10"/>
      <c r="AK23" s="2"/>
      <c r="AL23" s="2"/>
    </row>
    <row r="24" spans="1:38" ht="12.75">
      <c r="A24" s="7">
        <f ca="1">IFERROR(__xludf.DUMMYFUNCTION("""COMPUTED_VALUE"""),170)</f>
        <v>170</v>
      </c>
      <c r="B24" s="2"/>
      <c r="C24" s="4"/>
      <c r="D24" s="2"/>
      <c r="E24" s="2"/>
      <c r="F24" s="2" t="str">
        <f ca="1">IFERROR(__xludf.DUMMYFUNCTION("""COMPUTED_VALUE"""),"B0BTJ4V6BK")</f>
        <v>B0BTJ4V6BK</v>
      </c>
      <c r="G24" s="2" t="str">
        <f ca="1">IFERROR(__xludf.DUMMYFUNCTION("""COMPUTED_VALUE"""),"C170_386_533")</f>
        <v>C170_386_533</v>
      </c>
      <c r="H24" s="2"/>
      <c r="I24" s="2" t="s">
        <v>7</v>
      </c>
      <c r="J24" s="2"/>
      <c r="K24" s="2"/>
      <c r="L24" s="2"/>
      <c r="M24" s="2"/>
      <c r="N24" s="2"/>
      <c r="O24" s="2"/>
      <c r="P24" s="8"/>
      <c r="Q24" s="8"/>
      <c r="R24" s="9"/>
      <c r="S24" s="2"/>
      <c r="T24" s="2"/>
      <c r="U24" s="2"/>
      <c r="V24" s="2"/>
      <c r="W24" s="2"/>
      <c r="X24" s="2">
        <f ca="1">IFERROR(__xludf.DUMMYFUNCTION("""COMPUTED_VALUE"""),0.23)</f>
        <v>0.23</v>
      </c>
      <c r="Y24" s="2"/>
      <c r="Z24" s="2">
        <f ca="1">IFERROR(__xludf.DUMMYFUNCTION("""COMPUTED_VALUE"""),24.1)</f>
        <v>24.1</v>
      </c>
      <c r="AA24" s="2">
        <f ca="1">IFERROR(__xludf.DUMMYFUNCTION("""COMPUTED_VALUE"""),19.3)</f>
        <v>19.3</v>
      </c>
      <c r="AB24" s="2">
        <f ca="1">IFERROR(__xludf.DUMMYFUNCTION("""COMPUTED_VALUE"""),3)</f>
        <v>3</v>
      </c>
      <c r="AC24" s="2">
        <f ca="1">IFERROR(__xludf.DUMMYFUNCTION("""COMPUTED_VALUE"""),46.4)</f>
        <v>46.4</v>
      </c>
      <c r="AD24" s="2"/>
      <c r="AE24" s="2"/>
      <c r="AF24" s="10"/>
      <c r="AG24" s="2"/>
      <c r="AH24" s="2"/>
      <c r="AI24" s="10"/>
      <c r="AJ24" s="10"/>
      <c r="AK24" s="2"/>
      <c r="AL24" s="2"/>
    </row>
    <row r="25" spans="1:38" ht="12.75">
      <c r="A25" s="7">
        <f ca="1">IFERROR(__xludf.DUMMYFUNCTION("""COMPUTED_VALUE"""),174)</f>
        <v>174</v>
      </c>
      <c r="B25" s="2"/>
      <c r="C25" s="4"/>
      <c r="D25" s="2"/>
      <c r="E25" s="2"/>
      <c r="F25" s="2" t="str">
        <f ca="1">IFERROR(__xludf.DUMMYFUNCTION("""COMPUTED_VALUE"""),"B0BTJ3FDK4")</f>
        <v>B0BTJ3FDK4</v>
      </c>
      <c r="G25" s="2" t="str">
        <f ca="1">IFERROR(__xludf.DUMMYFUNCTION("""COMPUTED_VALUE"""),"C174_400_336")</f>
        <v>C174_400_336</v>
      </c>
      <c r="H25" s="2"/>
      <c r="I25" s="2" t="s">
        <v>8</v>
      </c>
      <c r="J25" s="2"/>
      <c r="K25" s="2"/>
      <c r="L25" s="2"/>
      <c r="M25" s="2"/>
      <c r="N25" s="2"/>
      <c r="O25" s="2"/>
      <c r="P25" s="8"/>
      <c r="Q25" s="8"/>
      <c r="R25" s="9"/>
      <c r="S25" s="2"/>
      <c r="T25" s="2"/>
      <c r="U25" s="2"/>
      <c r="V25" s="2"/>
      <c r="W25" s="2"/>
      <c r="X25" s="2">
        <f ca="1">IFERROR(__xludf.DUMMYFUNCTION("""COMPUTED_VALUE"""),0.47)</f>
        <v>0.47</v>
      </c>
      <c r="Y25" s="2"/>
      <c r="Z25" s="2">
        <f ca="1">IFERROR(__xludf.DUMMYFUNCTION("""COMPUTED_VALUE"""),15.6)</f>
        <v>15.6</v>
      </c>
      <c r="AA25" s="2">
        <f ca="1">IFERROR(__xludf.DUMMYFUNCTION("""COMPUTED_VALUE"""),11.8)</f>
        <v>11.8</v>
      </c>
      <c r="AB25" s="2">
        <f ca="1">IFERROR(__xludf.DUMMYFUNCTION("""COMPUTED_VALUE"""),3)</f>
        <v>3</v>
      </c>
      <c r="AC25" s="2">
        <f ca="1">IFERROR(__xludf.DUMMYFUNCTION("""COMPUTED_VALUE"""),30.4)</f>
        <v>30.4</v>
      </c>
      <c r="AD25" s="2"/>
      <c r="AE25" s="2"/>
      <c r="AF25" s="10"/>
      <c r="AG25" s="2"/>
      <c r="AH25" s="2"/>
      <c r="AI25" s="10"/>
      <c r="AJ25" s="10"/>
      <c r="AK25" s="2"/>
      <c r="AL25" s="2"/>
    </row>
    <row r="26" spans="1:38" ht="12.75">
      <c r="A26" s="7">
        <f ca="1">IFERROR(__xludf.DUMMYFUNCTION("""COMPUTED_VALUE"""),201)</f>
        <v>201</v>
      </c>
      <c r="B26" s="2"/>
      <c r="C26" s="4"/>
      <c r="D26" s="2"/>
      <c r="E26" s="2"/>
      <c r="F26" s="2" t="str">
        <f ca="1">IFERROR(__xludf.DUMMYFUNCTION("""COMPUTED_VALUE"""),"B0BTMG72ND")</f>
        <v>B0BTMG72ND</v>
      </c>
      <c r="G26" s="2" t="str">
        <f ca="1">IFERROR(__xludf.DUMMYFUNCTION("""COMPUTED_VALUE"""),"C201_453_410")</f>
        <v>C201_453_410</v>
      </c>
      <c r="H26" s="2"/>
      <c r="I26" s="2" t="s">
        <v>9</v>
      </c>
      <c r="J26" s="2"/>
      <c r="K26" s="2"/>
      <c r="L26" s="2"/>
      <c r="M26" s="2"/>
      <c r="N26" s="2"/>
      <c r="O26" s="2"/>
      <c r="P26" s="8"/>
      <c r="Q26" s="8"/>
      <c r="R26" s="9"/>
      <c r="S26" s="2"/>
      <c r="T26" s="2"/>
      <c r="U26" s="2"/>
      <c r="V26" s="2"/>
      <c r="W26" s="2"/>
      <c r="X26" s="2">
        <f ca="1">IFERROR(__xludf.DUMMYFUNCTION("""COMPUTED_VALUE"""),0.64)</f>
        <v>0.64</v>
      </c>
      <c r="Y26" s="2"/>
      <c r="Z26" s="2">
        <f ca="1">IFERROR(__xludf.DUMMYFUNCTION("""COMPUTED_VALUE"""),25.9)</f>
        <v>25.9</v>
      </c>
      <c r="AA26" s="2">
        <f ca="1">IFERROR(__xludf.DUMMYFUNCTION("""COMPUTED_VALUE"""),15.4)</f>
        <v>15.4</v>
      </c>
      <c r="AB26" s="2">
        <f ca="1">IFERROR(__xludf.DUMMYFUNCTION("""COMPUTED_VALUE"""),14.7)</f>
        <v>14.7</v>
      </c>
      <c r="AC26" s="2">
        <f ca="1">IFERROR(__xludf.DUMMYFUNCTION("""COMPUTED_VALUE"""),56)</f>
        <v>56</v>
      </c>
      <c r="AD26" s="2"/>
      <c r="AE26" s="2"/>
      <c r="AF26" s="10"/>
      <c r="AG26" s="10"/>
      <c r="AH26" s="2"/>
      <c r="AI26" s="10"/>
      <c r="AJ26" s="10"/>
      <c r="AK26" s="2"/>
      <c r="AL26" s="2"/>
    </row>
    <row r="27" spans="1:38" ht="12.75">
      <c r="A27" s="7">
        <f ca="1">IFERROR(__xludf.DUMMYFUNCTION("""COMPUTED_VALUE"""),219)</f>
        <v>219</v>
      </c>
      <c r="B27" s="2"/>
      <c r="C27" s="4"/>
      <c r="D27" s="2"/>
      <c r="E27" s="2"/>
      <c r="F27" s="2" t="str">
        <f ca="1">IFERROR(__xludf.DUMMYFUNCTION("""COMPUTED_VALUE"""),"B0BTMFN86P")</f>
        <v>B0BTMFN86P</v>
      </c>
      <c r="G27" s="2" t="str">
        <f ca="1">IFERROR(__xludf.DUMMYFUNCTION("""COMPUTED_VALUE"""),"C219_480_640")</f>
        <v>C219_480_640</v>
      </c>
      <c r="H27" s="2"/>
      <c r="I27" s="2" t="s">
        <v>10</v>
      </c>
      <c r="J27" s="2"/>
      <c r="K27" s="2"/>
      <c r="L27" s="2"/>
      <c r="M27" s="2"/>
      <c r="N27" s="2"/>
      <c r="O27" s="2"/>
      <c r="P27" s="8"/>
      <c r="Q27" s="8"/>
      <c r="R27" s="9"/>
      <c r="S27" s="2"/>
      <c r="T27" s="2"/>
      <c r="U27" s="2"/>
      <c r="V27" s="2"/>
      <c r="W27" s="2"/>
      <c r="X27" s="2">
        <f ca="1">IFERROR(__xludf.DUMMYFUNCTION("""COMPUTED_VALUE"""),0.89)</f>
        <v>0.89</v>
      </c>
      <c r="Y27" s="2"/>
      <c r="Z27" s="2">
        <f ca="1">IFERROR(__xludf.DUMMYFUNCTION("""COMPUTED_VALUE"""),30.8)</f>
        <v>30.8</v>
      </c>
      <c r="AA27" s="2">
        <f ca="1">IFERROR(__xludf.DUMMYFUNCTION("""COMPUTED_VALUE"""),14.9)</f>
        <v>14.9</v>
      </c>
      <c r="AB27" s="2">
        <f ca="1">IFERROR(__xludf.DUMMYFUNCTION("""COMPUTED_VALUE"""),14)</f>
        <v>14</v>
      </c>
      <c r="AC27" s="2">
        <f ca="1">IFERROR(__xludf.DUMMYFUNCTION("""COMPUTED_VALUE"""),59.7)</f>
        <v>59.7</v>
      </c>
      <c r="AD27" s="2"/>
      <c r="AE27" s="2"/>
      <c r="AF27" s="10"/>
      <c r="AG27" s="10"/>
      <c r="AH27" s="10"/>
      <c r="AI27" s="10"/>
      <c r="AJ27" s="10"/>
      <c r="AK27" s="2"/>
      <c r="AL27" s="2"/>
    </row>
    <row r="28" spans="1:38" ht="12.75">
      <c r="A28" s="7">
        <f ca="1">IFERROR(__xludf.DUMMYFUNCTION("""COMPUTED_VALUE"""),240)</f>
        <v>240</v>
      </c>
      <c r="B28" s="2"/>
      <c r="C28" s="4"/>
      <c r="D28" s="2"/>
      <c r="E28" s="2"/>
      <c r="F28" s="2" t="str">
        <f ca="1">IFERROR(__xludf.DUMMYFUNCTION("""COMPUTED_VALUE"""),"B0CTF1QCK9")</f>
        <v>B0CTF1QCK9</v>
      </c>
      <c r="G28" s="2" t="str">
        <f ca="1">IFERROR(__xludf.DUMMYFUNCTION("""COMPUTED_VALUE"""),"C240_508_549")</f>
        <v>C240_508_549</v>
      </c>
      <c r="H28" s="2"/>
      <c r="I28" s="2" t="s">
        <v>11</v>
      </c>
      <c r="J28" s="2"/>
      <c r="K28" s="2"/>
      <c r="L28" s="2"/>
      <c r="M28" s="2"/>
      <c r="N28" s="2"/>
      <c r="O28" s="2"/>
      <c r="P28" s="8"/>
      <c r="Q28" s="8"/>
      <c r="R28" s="9"/>
      <c r="S28" s="2"/>
      <c r="T28" s="2"/>
      <c r="U28" s="2"/>
      <c r="V28" s="2"/>
      <c r="W28" s="2"/>
      <c r="X28" s="2"/>
      <c r="Y28" s="2"/>
      <c r="Z28" s="2">
        <f ca="1">IFERROR(__xludf.DUMMYFUNCTION("""COMPUTED_VALUE"""),24)</f>
        <v>24</v>
      </c>
      <c r="AA28" s="2">
        <f ca="1">IFERROR(__xludf.DUMMYFUNCTION("""COMPUTED_VALUE"""),15.1)</f>
        <v>15.1</v>
      </c>
      <c r="AB28" s="2">
        <f ca="1">IFERROR(__xludf.DUMMYFUNCTION("""COMPUTED_VALUE"""),5.9)</f>
        <v>5.9</v>
      </c>
      <c r="AC28" s="2">
        <f ca="1">IFERROR(__xludf.DUMMYFUNCTION("""COMPUTED_VALUE"""),45)</f>
        <v>45</v>
      </c>
      <c r="AD28" s="2"/>
      <c r="AE28" s="2"/>
      <c r="AF28" s="10"/>
      <c r="AG28" s="10"/>
      <c r="AH28" s="2"/>
      <c r="AI28" s="10"/>
      <c r="AJ28" s="10"/>
      <c r="AK28" s="2"/>
      <c r="AL28" s="2"/>
    </row>
    <row r="29" spans="1:38" ht="12.75">
      <c r="A29" s="7">
        <f ca="1">IFERROR(__xludf.DUMMYFUNCTION("""COMPUTED_VALUE"""),295)</f>
        <v>295</v>
      </c>
      <c r="B29" s="2"/>
      <c r="C29" s="4"/>
      <c r="D29" s="2"/>
      <c r="E29" s="2"/>
      <c r="F29" s="2" t="str">
        <f ca="1">IFERROR(__xludf.DUMMYFUNCTION("""COMPUTED_VALUE"""),"B0C4J2DRDR")</f>
        <v>B0C4J2DRDR</v>
      </c>
      <c r="G29" s="2" t="str">
        <f ca="1">IFERROR(__xludf.DUMMYFUNCTION("""COMPUTED_VALUE"""),"C295_472_302")</f>
        <v>C295_472_302</v>
      </c>
      <c r="H29" s="2"/>
      <c r="I29" s="2" t="s">
        <v>12</v>
      </c>
      <c r="J29" s="2"/>
      <c r="K29" s="2"/>
      <c r="L29" s="2"/>
      <c r="M29" s="2"/>
      <c r="N29" s="2"/>
      <c r="O29" s="2"/>
      <c r="P29" s="8"/>
      <c r="Q29" s="8"/>
      <c r="R29" s="9"/>
      <c r="S29" s="2"/>
      <c r="T29" s="2"/>
      <c r="U29" s="2"/>
      <c r="V29" s="2"/>
      <c r="W29" s="2"/>
      <c r="X29" s="2">
        <f ca="1">IFERROR(__xludf.DUMMYFUNCTION("""COMPUTED_VALUE"""),0.19)</f>
        <v>0.19</v>
      </c>
      <c r="Y29" s="2"/>
      <c r="Z29" s="2">
        <f ca="1">IFERROR(__xludf.DUMMYFUNCTION("""COMPUTED_VALUE"""),17.9)</f>
        <v>17.899999999999999</v>
      </c>
      <c r="AA29" s="2">
        <f ca="1">IFERROR(__xludf.DUMMYFUNCTION("""COMPUTED_VALUE"""),16.6)</f>
        <v>16.600000000000001</v>
      </c>
      <c r="AB29" s="2">
        <f ca="1">IFERROR(__xludf.DUMMYFUNCTION("""COMPUTED_VALUE"""),2.4)</f>
        <v>2.4</v>
      </c>
      <c r="AC29" s="2">
        <f ca="1">IFERROR(__xludf.DUMMYFUNCTION("""COMPUTED_VALUE"""),36.9)</f>
        <v>36.9</v>
      </c>
      <c r="AD29" s="2"/>
      <c r="AE29" s="2"/>
      <c r="AF29" s="10"/>
      <c r="AG29" s="2"/>
      <c r="AH29" s="2"/>
      <c r="AI29" s="10"/>
      <c r="AJ29" s="10"/>
      <c r="AK29" s="2"/>
      <c r="AL29" s="2"/>
    </row>
    <row r="30" spans="1:38" ht="12.75">
      <c r="A30" s="7">
        <f ca="1">IFERROR(__xludf.DUMMYFUNCTION("""COMPUTED_VALUE"""),348)</f>
        <v>348</v>
      </c>
      <c r="B30" s="2"/>
      <c r="C30" s="4"/>
      <c r="D30" s="2"/>
      <c r="E30" s="2"/>
      <c r="F30" s="2" t="str">
        <f ca="1">IFERROR(__xludf.DUMMYFUNCTION("""COMPUTED_VALUE"""),"B0CKV9N5VS")</f>
        <v>B0CKV9N5VS</v>
      </c>
      <c r="G30" s="2" t="str">
        <f ca="1">IFERROR(__xludf.DUMMYFUNCTION("""COMPUTED_VALUE"""),"C348_853_411")</f>
        <v>C348_853_411</v>
      </c>
      <c r="H30" s="2"/>
      <c r="I30" s="2" t="s">
        <v>13</v>
      </c>
      <c r="J30" s="2"/>
      <c r="K30" s="2"/>
      <c r="L30" s="2"/>
      <c r="M30" s="2"/>
      <c r="N30" s="2"/>
      <c r="O30" s="2"/>
      <c r="P30" s="8"/>
      <c r="Q30" s="8"/>
      <c r="R30" s="9"/>
      <c r="S30" s="2"/>
      <c r="T30" s="2"/>
      <c r="U30" s="2"/>
      <c r="V30" s="2"/>
      <c r="W30" s="2"/>
      <c r="X30" s="2"/>
      <c r="Y30" s="2"/>
      <c r="Z30" s="2">
        <f ca="1">IFERROR(__xludf.DUMMYFUNCTION("""COMPUTED_VALUE"""),34.79)</f>
        <v>34.79</v>
      </c>
      <c r="AA30" s="2">
        <f ca="1">IFERROR(__xludf.DUMMYFUNCTION("""COMPUTED_VALUE"""),14.2)</f>
        <v>14.2</v>
      </c>
      <c r="AB30" s="2">
        <f ca="1">IFERROR(__xludf.DUMMYFUNCTION("""COMPUTED_VALUE"""),7.5)</f>
        <v>7.5</v>
      </c>
      <c r="AC30" s="2">
        <f ca="1">IFERROR(__xludf.DUMMYFUNCTION("""COMPUTED_VALUE"""),56.4899999999999)</f>
        <v>56.489999999999903</v>
      </c>
      <c r="AD30" s="2"/>
      <c r="AE30" s="2"/>
      <c r="AF30" s="10"/>
      <c r="AG30" s="10"/>
      <c r="AH30" s="2"/>
      <c r="AI30" s="10"/>
      <c r="AJ30" s="10"/>
      <c r="AK30" s="2"/>
      <c r="AL30" s="2"/>
    </row>
    <row r="31" spans="1:38" ht="12.75">
      <c r="A31" s="7">
        <f ca="1">IFERROR(__xludf.DUMMYFUNCTION("""COMPUTED_VALUE"""),352)</f>
        <v>352</v>
      </c>
      <c r="B31" s="2"/>
      <c r="C31" s="4"/>
      <c r="D31" s="2"/>
      <c r="E31" s="2"/>
      <c r="F31" s="2" t="str">
        <f ca="1">IFERROR(__xludf.DUMMYFUNCTION("""COMPUTED_VALUE"""),"B0C896GWSM")</f>
        <v>B0C896GWSM</v>
      </c>
      <c r="G31" s="2" t="str">
        <f ca="1">IFERROR(__xludf.DUMMYFUNCTION("""COMPUTED_VALUE"""),"C352_534_498")</f>
        <v>C352_534_498</v>
      </c>
      <c r="H31" s="2"/>
      <c r="I31" s="2" t="s">
        <v>14</v>
      </c>
      <c r="J31" s="2"/>
      <c r="K31" s="2"/>
      <c r="L31" s="2"/>
      <c r="M31" s="2"/>
      <c r="N31" s="2"/>
      <c r="O31" s="2"/>
      <c r="P31" s="8"/>
      <c r="Q31" s="8"/>
      <c r="R31" s="9"/>
      <c r="S31" s="2"/>
      <c r="T31" s="2"/>
      <c r="U31" s="2"/>
      <c r="V31" s="2"/>
      <c r="W31" s="2"/>
      <c r="X31" s="2">
        <f ca="1">IFERROR(__xludf.DUMMYFUNCTION("""COMPUTED_VALUE"""),0.19)</f>
        <v>0.19</v>
      </c>
      <c r="Y31" s="2"/>
      <c r="Z31" s="2">
        <f ca="1">IFERROR(__xludf.DUMMYFUNCTION("""COMPUTED_VALUE"""),16.8)</f>
        <v>16.8</v>
      </c>
      <c r="AA31" s="2">
        <f ca="1">IFERROR(__xludf.DUMMYFUNCTION("""COMPUTED_VALUE"""),11.2)</f>
        <v>11.2</v>
      </c>
      <c r="AB31" s="2">
        <f ca="1">IFERROR(__xludf.DUMMYFUNCTION("""COMPUTED_VALUE"""),8.2)</f>
        <v>8.1999999999999993</v>
      </c>
      <c r="AC31" s="2">
        <f ca="1">IFERROR(__xludf.DUMMYFUNCTION("""COMPUTED_VALUE"""),36.2)</f>
        <v>36.200000000000003</v>
      </c>
      <c r="AD31" s="2"/>
      <c r="AE31" s="2"/>
      <c r="AF31" s="10"/>
      <c r="AG31" s="10"/>
      <c r="AH31" s="10"/>
      <c r="AI31" s="10"/>
      <c r="AJ31" s="10"/>
      <c r="AK31" s="2"/>
      <c r="AL31" s="2"/>
    </row>
    <row r="32" spans="1:38" ht="12.75">
      <c r="A32" s="7">
        <f ca="1">IFERROR(__xludf.DUMMYFUNCTION("""COMPUTED_VALUE"""),409)</f>
        <v>409</v>
      </c>
      <c r="B32" s="2"/>
      <c r="C32" s="4"/>
      <c r="D32" s="2"/>
      <c r="E32" s="2"/>
      <c r="F32" s="2" t="str">
        <f ca="1">IFERROR(__xludf.DUMMYFUNCTION("""COMPUTED_VALUE"""),"B0CDQ3RPH2")</f>
        <v>B0CDQ3RPH2</v>
      </c>
      <c r="G32" s="2" t="str">
        <f ca="1">IFERROR(__xludf.DUMMYFUNCTION("""COMPUTED_VALUE"""),"C409_141_318")</f>
        <v>C409_141_318</v>
      </c>
      <c r="H32" s="2"/>
      <c r="I32" s="2" t="s">
        <v>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f ca="1">IFERROR(__xludf.DUMMYFUNCTION("""COMPUTED_VALUE"""),20.7)</f>
        <v>20.7</v>
      </c>
      <c r="AA32" s="2">
        <f ca="1">IFERROR(__xludf.DUMMYFUNCTION("""COMPUTED_VALUE"""),10.8)</f>
        <v>10.8</v>
      </c>
      <c r="AB32" s="2">
        <f ca="1">IFERROR(__xludf.DUMMYFUNCTION("""COMPUTED_VALUE"""),5.4)</f>
        <v>5.4</v>
      </c>
      <c r="AC32" s="2">
        <f ca="1">IFERROR(__xludf.DUMMYFUNCTION("""COMPUTED_VALUE"""),36.9)</f>
        <v>36.9</v>
      </c>
      <c r="AD32" s="2"/>
      <c r="AE32" s="2"/>
      <c r="AF32" s="10"/>
      <c r="AG32" s="10"/>
      <c r="AH32" s="10"/>
      <c r="AI32" s="10"/>
      <c r="AJ32" s="10"/>
      <c r="AK32" s="2"/>
      <c r="AL32" s="2"/>
    </row>
    <row r="33" spans="1:38" ht="12.75">
      <c r="A33" s="7">
        <f ca="1">IFERROR(__xludf.DUMMYFUNCTION("""COMPUTED_VALUE"""),463)</f>
        <v>463</v>
      </c>
      <c r="B33" s="2"/>
      <c r="C33" s="4"/>
      <c r="D33" s="2"/>
      <c r="E33" s="2"/>
      <c r="F33" s="2" t="str">
        <f ca="1">IFERROR(__xludf.DUMMYFUNCTION("""COMPUTED_VALUE"""),"B0CHYJJ43B")</f>
        <v>B0CHYJJ43B</v>
      </c>
      <c r="G33" s="2" t="str">
        <f ca="1">IFERROR(__xludf.DUMMYFUNCTION("""COMPUTED_VALUE"""),"C463_554_160")</f>
        <v>C463_554_160</v>
      </c>
      <c r="H33" s="2"/>
      <c r="I33" s="2" t="s">
        <v>15</v>
      </c>
      <c r="J33" s="2"/>
      <c r="K33" s="2"/>
      <c r="L33" s="2"/>
      <c r="M33" s="2"/>
      <c r="N33" s="2"/>
      <c r="O33" s="2"/>
      <c r="P33" s="8"/>
      <c r="Q33" s="8"/>
      <c r="R33" s="9"/>
      <c r="S33" s="2"/>
      <c r="T33" s="2"/>
      <c r="U33" s="2"/>
      <c r="V33" s="2"/>
      <c r="W33" s="2"/>
      <c r="X33" s="2">
        <f ca="1">IFERROR(__xludf.DUMMYFUNCTION("""COMPUTED_VALUE"""),0.1)</f>
        <v>0.1</v>
      </c>
      <c r="Y33" s="2"/>
      <c r="Z33" s="2">
        <f ca="1">IFERROR(__xludf.DUMMYFUNCTION("""COMPUTED_VALUE"""),17.1)</f>
        <v>17.100000000000001</v>
      </c>
      <c r="AA33" s="2">
        <f ca="1">IFERROR(__xludf.DUMMYFUNCTION("""COMPUTED_VALUE"""),15.3)</f>
        <v>15.3</v>
      </c>
      <c r="AB33" s="2">
        <f ca="1">IFERROR(__xludf.DUMMYFUNCTION("""COMPUTED_VALUE"""),4.6)</f>
        <v>4.5999999999999996</v>
      </c>
      <c r="AC33" s="2">
        <f ca="1">IFERROR(__xludf.DUMMYFUNCTION("""COMPUTED_VALUE"""),37)</f>
        <v>37</v>
      </c>
      <c r="AD33" s="2"/>
      <c r="AE33" s="2"/>
      <c r="AF33" s="10"/>
      <c r="AG33" s="10"/>
      <c r="AH33" s="10"/>
      <c r="AI33" s="10"/>
      <c r="AJ33" s="10"/>
      <c r="AK33" s="2"/>
      <c r="AL33" s="2"/>
    </row>
    <row r="34" spans="1:38" ht="12.75">
      <c r="A34" s="7">
        <f ca="1">IFERROR(__xludf.DUMMYFUNCTION("""COMPUTED_VALUE"""),481)</f>
        <v>481</v>
      </c>
      <c r="B34" s="2"/>
      <c r="C34" s="4"/>
      <c r="D34" s="2"/>
      <c r="E34" s="6"/>
      <c r="F34" s="2" t="str">
        <f ca="1">IFERROR(__xludf.DUMMYFUNCTION("""COMPUTED_VALUE"""),"B0DJ1ZDXY1")</f>
        <v>B0DJ1ZDXY1</v>
      </c>
      <c r="G34" s="2" t="str">
        <f ca="1">IFERROR(__xludf.DUMMYFUNCTION("""COMPUTED_VALUE"""),"C481_1300")</f>
        <v>C481_1300</v>
      </c>
      <c r="H34" s="2"/>
      <c r="I34" s="2" t="s">
        <v>16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>
        <f ca="1">IFERROR(__xludf.DUMMYFUNCTION("""COMPUTED_VALUE"""),29)</f>
        <v>29</v>
      </c>
      <c r="AA34" s="2">
        <f ca="1">IFERROR(__xludf.DUMMYFUNCTION("""COMPUTED_VALUE"""),13.9)</f>
        <v>13.9</v>
      </c>
      <c r="AB34" s="2">
        <f ca="1">IFERROR(__xludf.DUMMYFUNCTION("""COMPUTED_VALUE"""),6.6)</f>
        <v>6.6</v>
      </c>
      <c r="AC34" s="2">
        <f ca="1">IFERROR(__xludf.DUMMYFUNCTION("""COMPUTED_VALUE"""),49.5)</f>
        <v>49.5</v>
      </c>
      <c r="AD34" s="2"/>
      <c r="AE34" s="2"/>
      <c r="AF34" s="10"/>
      <c r="AG34" s="2"/>
      <c r="AH34" s="2"/>
      <c r="AI34" s="10"/>
      <c r="AJ34" s="10"/>
      <c r="AK34" s="2"/>
      <c r="AL34" s="2"/>
    </row>
    <row r="35" spans="1:38" ht="12.75">
      <c r="A35" s="7">
        <f ca="1">IFERROR(__xludf.DUMMYFUNCTION("""COMPUTED_VALUE"""),483)</f>
        <v>483</v>
      </c>
      <c r="B35" s="2"/>
      <c r="C35" s="4"/>
      <c r="D35" s="2"/>
      <c r="E35" s="2"/>
      <c r="F35" s="2" t="str">
        <f ca="1">IFERROR(__xludf.DUMMYFUNCTION("""COMPUTED_VALUE"""),"B0CKSC3XNB")</f>
        <v>B0CKSC3XNB</v>
      </c>
      <c r="G35" s="2" t="str">
        <f ca="1">IFERROR(__xludf.DUMMYFUNCTION("""COMPUTED_VALUE"""),"C483_818_204")</f>
        <v>C483_818_204</v>
      </c>
      <c r="H35" s="2"/>
      <c r="I35" s="2" t="s">
        <v>17</v>
      </c>
      <c r="J35" s="2"/>
      <c r="K35" s="2"/>
      <c r="L35" s="2"/>
      <c r="M35" s="2"/>
      <c r="N35" s="2"/>
      <c r="O35" s="2"/>
      <c r="P35" s="8"/>
      <c r="Q35" s="8"/>
      <c r="R35" s="9"/>
      <c r="S35" s="2"/>
      <c r="T35" s="2"/>
      <c r="U35" s="2"/>
      <c r="V35" s="2"/>
      <c r="W35" s="2"/>
      <c r="X35" s="2"/>
      <c r="Y35" s="2"/>
      <c r="Z35" s="2">
        <f ca="1">IFERROR(__xludf.DUMMYFUNCTION("""COMPUTED_VALUE"""),33.2)</f>
        <v>33.200000000000003</v>
      </c>
      <c r="AA35" s="2">
        <f ca="1">IFERROR(__xludf.DUMMYFUNCTION("""COMPUTED_VALUE"""),17.6)</f>
        <v>17.600000000000001</v>
      </c>
      <c r="AB35" s="2">
        <f ca="1">IFERROR(__xludf.DUMMYFUNCTION("""COMPUTED_VALUE"""),3.3)</f>
        <v>3.3</v>
      </c>
      <c r="AC35" s="2">
        <f ca="1">IFERROR(__xludf.DUMMYFUNCTION("""COMPUTED_VALUE"""),54.1)</f>
        <v>54.1</v>
      </c>
      <c r="AD35" s="2"/>
      <c r="AE35" s="2"/>
      <c r="AF35" s="10"/>
      <c r="AG35" s="2"/>
      <c r="AH35" s="2"/>
      <c r="AI35" s="10"/>
      <c r="AJ35" s="10"/>
      <c r="AK35" s="2"/>
      <c r="AL35" s="2"/>
    </row>
    <row r="36" spans="1:38" ht="12.75">
      <c r="A36" s="7">
        <f ca="1">IFERROR(__xludf.DUMMYFUNCTION("""COMPUTED_VALUE"""),517)</f>
        <v>517</v>
      </c>
      <c r="B36" s="2"/>
      <c r="C36" s="4"/>
      <c r="D36" s="2"/>
      <c r="E36" s="2"/>
      <c r="F36" s="2" t="str">
        <f ca="1">IFERROR(__xludf.DUMMYFUNCTION("""COMPUTED_VALUE"""),"B0CSFJGD5R")</f>
        <v>B0CSFJGD5R</v>
      </c>
      <c r="G36" s="2" t="str">
        <f ca="1">IFERROR(__xludf.DUMMYFUNCTION("""COMPUTED_VALUE"""),"C517_857_226")</f>
        <v>C517_857_226</v>
      </c>
      <c r="H36" s="2"/>
      <c r="I36" s="2" t="s">
        <v>18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>
        <f ca="1">IFERROR(__xludf.DUMMYFUNCTION("""COMPUTED_VALUE"""),18.1)</f>
        <v>18.100000000000001</v>
      </c>
      <c r="AA36" s="2">
        <f ca="1">IFERROR(__xludf.DUMMYFUNCTION("""COMPUTED_VALUE"""),13.7)</f>
        <v>13.7</v>
      </c>
      <c r="AB36" s="2">
        <f ca="1">IFERROR(__xludf.DUMMYFUNCTION("""COMPUTED_VALUE"""),5.9)</f>
        <v>5.9</v>
      </c>
      <c r="AC36" s="2">
        <f ca="1">IFERROR(__xludf.DUMMYFUNCTION("""COMPUTED_VALUE"""),37.7)</f>
        <v>37.700000000000003</v>
      </c>
      <c r="AD36" s="2"/>
      <c r="AE36" s="2"/>
      <c r="AF36" s="10"/>
      <c r="AG36" s="2"/>
      <c r="AH36" s="2"/>
      <c r="AI36" s="10"/>
      <c r="AJ36" s="10"/>
      <c r="AK36" s="2"/>
      <c r="AL36" s="2"/>
    </row>
    <row r="37" spans="1:38" ht="12.75">
      <c r="A37" s="7">
        <f ca="1">IFERROR(__xludf.DUMMYFUNCTION("""COMPUTED_VALUE"""),563)</f>
        <v>563</v>
      </c>
      <c r="B37" s="2"/>
      <c r="C37" s="4"/>
      <c r="D37" s="2"/>
      <c r="E37" s="2"/>
      <c r="F37" s="2" t="str">
        <f ca="1">IFERROR(__xludf.DUMMYFUNCTION("""COMPUTED_VALUE"""),"B0CP46KRHX")</f>
        <v>B0CP46KRHX</v>
      </c>
      <c r="G37" s="2" t="str">
        <f ca="1">IFERROR(__xludf.DUMMYFUNCTION("""COMPUTED_VALUE"""),"C563_765_460")</f>
        <v>C563_765_460</v>
      </c>
      <c r="H37" s="2"/>
      <c r="I37" s="2" t="s">
        <v>19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>
        <f ca="1">IFERROR(__xludf.DUMMYFUNCTION("""COMPUTED_VALUE"""),10.5)</f>
        <v>10.5</v>
      </c>
      <c r="AA37" s="2">
        <f ca="1">IFERROR(__xludf.DUMMYFUNCTION("""COMPUTED_VALUE"""),10)</f>
        <v>10</v>
      </c>
      <c r="AB37" s="2">
        <f ca="1">IFERROR(__xludf.DUMMYFUNCTION("""COMPUTED_VALUE"""),7.7)</f>
        <v>7.7</v>
      </c>
      <c r="AC37" s="2">
        <f ca="1">IFERROR(__xludf.DUMMYFUNCTION("""COMPUTED_VALUE"""),28.2)</f>
        <v>28.2</v>
      </c>
      <c r="AD37" s="2"/>
      <c r="AE37" s="2"/>
      <c r="AF37" s="10"/>
      <c r="AG37" s="10"/>
      <c r="AH37" s="2"/>
      <c r="AI37" s="10"/>
      <c r="AJ37" s="10"/>
      <c r="AK37" s="2"/>
      <c r="AL37" s="2"/>
    </row>
    <row r="38" spans="1:38" ht="12.75">
      <c r="A38" s="7">
        <f ca="1">IFERROR(__xludf.DUMMYFUNCTION("""COMPUTED_VALUE"""),583)</f>
        <v>583</v>
      </c>
      <c r="B38" s="2"/>
      <c r="C38" s="4"/>
      <c r="D38" s="2"/>
      <c r="E38" s="2"/>
      <c r="F38" s="2" t="str">
        <f ca="1">IFERROR(__xludf.DUMMYFUNCTION("""COMPUTED_VALUE"""),"B0CSFJFJR2")</f>
        <v>B0CSFJFJR2</v>
      </c>
      <c r="G38" s="2" t="str">
        <f ca="1">IFERROR(__xludf.DUMMYFUNCTION("""COMPUTED_VALUE"""),"C583_914_179")</f>
        <v>C583_914_179</v>
      </c>
      <c r="H38" s="2"/>
      <c r="I38" s="2" t="s">
        <v>20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>
        <f ca="1">IFERROR(__xludf.DUMMYFUNCTION("""COMPUTED_VALUE"""),13.9)</f>
        <v>13.9</v>
      </c>
      <c r="AA38" s="2">
        <f ca="1">IFERROR(__xludf.DUMMYFUNCTION("""COMPUTED_VALUE"""),8.5)</f>
        <v>8.5</v>
      </c>
      <c r="AB38" s="2">
        <f ca="1">IFERROR(__xludf.DUMMYFUNCTION("""COMPUTED_VALUE"""),4.7)</f>
        <v>4.7</v>
      </c>
      <c r="AC38" s="2">
        <f ca="1">IFERROR(__xludf.DUMMYFUNCTION("""COMPUTED_VALUE"""),27.0999999999999)</f>
        <v>27.099999999999898</v>
      </c>
      <c r="AD38" s="2"/>
      <c r="AE38" s="2"/>
      <c r="AF38" s="10"/>
      <c r="AG38" s="10"/>
      <c r="AH38" s="10"/>
      <c r="AI38" s="10"/>
      <c r="AJ38" s="10"/>
      <c r="AK38" s="2"/>
      <c r="AL38" s="2"/>
    </row>
    <row r="39" spans="1:38" ht="12.75">
      <c r="A39" s="7">
        <f ca="1">IFERROR(__xludf.DUMMYFUNCTION("""COMPUTED_VALUE"""),626)</f>
        <v>626</v>
      </c>
      <c r="B39" s="2"/>
      <c r="C39" s="4"/>
      <c r="D39" s="2"/>
      <c r="E39" s="6"/>
      <c r="F39" s="2" t="str">
        <f ca="1">IFERROR(__xludf.DUMMYFUNCTION("""COMPUTED_VALUE"""),"B0CVV68637")</f>
        <v>B0CVV68637</v>
      </c>
      <c r="G39" s="2" t="str">
        <f ca="1">IFERROR(__xludf.DUMMYFUNCTION("""COMPUTED_VALUE"""),"C626_970_338")</f>
        <v>C626_970_338</v>
      </c>
      <c r="H39" s="2"/>
      <c r="I39" s="2" t="s">
        <v>21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>
        <f ca="1">IFERROR(__xludf.DUMMYFUNCTION("""COMPUTED_VALUE"""),42.7)</f>
        <v>42.7</v>
      </c>
      <c r="AA39" s="2">
        <f ca="1">IFERROR(__xludf.DUMMYFUNCTION("""COMPUTED_VALUE"""),5.6)</f>
        <v>5.6</v>
      </c>
      <c r="AB39" s="2">
        <f ca="1">IFERROR(__xludf.DUMMYFUNCTION("""COMPUTED_VALUE"""),2.6)</f>
        <v>2.6</v>
      </c>
      <c r="AC39" s="2">
        <f ca="1">IFERROR(__xludf.DUMMYFUNCTION("""COMPUTED_VALUE"""),50.9)</f>
        <v>50.9</v>
      </c>
      <c r="AD39" s="2"/>
      <c r="AE39" s="2"/>
      <c r="AF39" s="10"/>
      <c r="AG39" s="2"/>
      <c r="AH39" s="2"/>
      <c r="AI39" s="10"/>
      <c r="AJ39" s="10"/>
      <c r="AK39" s="2"/>
      <c r="AL39" s="2"/>
    </row>
    <row r="40" spans="1:38" ht="12.75">
      <c r="A40" s="7">
        <f ca="1">IFERROR(__xludf.DUMMYFUNCTION("""COMPUTED_VALUE"""),672)</f>
        <v>672</v>
      </c>
      <c r="B40" s="2"/>
      <c r="C40" s="4"/>
      <c r="D40" s="2"/>
      <c r="E40" s="2"/>
      <c r="F40" s="2" t="str">
        <f ca="1">IFERROR(__xludf.DUMMYFUNCTION("""COMPUTED_VALUE"""),"B0CYYHNTSB")</f>
        <v>B0CYYHNTSB</v>
      </c>
      <c r="G40" s="2" t="str">
        <f ca="1">IFERROR(__xludf.DUMMYFUNCTION("""COMPUTED_VALUE"""),"C672_366_167")</f>
        <v>C672_366_167</v>
      </c>
      <c r="H40" s="2"/>
      <c r="I40" s="2" t="s">
        <v>22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>
        <f ca="1">IFERROR(__xludf.DUMMYFUNCTION("""COMPUTED_VALUE"""),14.4)</f>
        <v>14.4</v>
      </c>
      <c r="AA40" s="2">
        <f ca="1">IFERROR(__xludf.DUMMYFUNCTION("""COMPUTED_VALUE"""),8.3)</f>
        <v>8.3000000000000007</v>
      </c>
      <c r="AB40" s="2">
        <f ca="1">IFERROR(__xludf.DUMMYFUNCTION("""COMPUTED_VALUE"""),5.9)</f>
        <v>5.9</v>
      </c>
      <c r="AC40" s="2">
        <f ca="1">IFERROR(__xludf.DUMMYFUNCTION("""COMPUTED_VALUE"""),28.6)</f>
        <v>28.6</v>
      </c>
      <c r="AD40" s="2"/>
      <c r="AE40" s="2"/>
      <c r="AF40" s="10"/>
      <c r="AG40" s="2"/>
      <c r="AH40" s="2"/>
      <c r="AI40" s="10"/>
      <c r="AJ40" s="10"/>
      <c r="AK40" s="2"/>
      <c r="AL40" s="2"/>
    </row>
    <row r="41" spans="1:38" ht="12.75">
      <c r="A41" s="7">
        <f ca="1">IFERROR(__xludf.DUMMYFUNCTION("""COMPUTED_VALUE"""),682)</f>
        <v>682</v>
      </c>
      <c r="B41" s="2"/>
      <c r="C41" s="4"/>
      <c r="D41" s="2"/>
      <c r="E41" s="6"/>
      <c r="F41" s="2" t="str">
        <f ca="1">IFERROR(__xludf.DUMMYFUNCTION("""COMPUTED_VALUE"""),"B0D11GJ6MK")</f>
        <v>B0D11GJ6MK</v>
      </c>
      <c r="G41" s="2" t="str">
        <f ca="1">IFERROR(__xludf.DUMMYFUNCTION("""COMPUTED_VALUE"""),"C682_1037_453")</f>
        <v>C682_1037_453</v>
      </c>
      <c r="H41" s="2"/>
      <c r="I41" s="2" t="s">
        <v>23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f ca="1">IFERROR(__xludf.DUMMYFUNCTION("""COMPUTED_VALUE"""),29.6)</f>
        <v>29.6</v>
      </c>
      <c r="AA41" s="2">
        <f ca="1">IFERROR(__xludf.DUMMYFUNCTION("""COMPUTED_VALUE"""),19.9)</f>
        <v>19.899999999999999</v>
      </c>
      <c r="AB41" s="2">
        <f ca="1">IFERROR(__xludf.DUMMYFUNCTION("""COMPUTED_VALUE"""),4.3)</f>
        <v>4.3</v>
      </c>
      <c r="AC41" s="2">
        <f ca="1">IFERROR(__xludf.DUMMYFUNCTION("""COMPUTED_VALUE"""),53.8)</f>
        <v>53.8</v>
      </c>
      <c r="AD41" s="2"/>
      <c r="AE41" s="2"/>
      <c r="AF41" s="10"/>
      <c r="AG41" s="2"/>
      <c r="AH41" s="2"/>
      <c r="AI41" s="10"/>
      <c r="AJ41" s="10"/>
      <c r="AK41" s="2"/>
      <c r="AL41" s="2"/>
    </row>
    <row r="42" spans="1:38" ht="12.75">
      <c r="A42" s="7">
        <f ca="1">IFERROR(__xludf.DUMMYFUNCTION("""COMPUTED_VALUE"""),753)</f>
        <v>753</v>
      </c>
      <c r="B42" s="2"/>
      <c r="C42" s="4"/>
      <c r="D42" s="2"/>
      <c r="E42" s="6"/>
      <c r="F42" s="2" t="str">
        <f ca="1">IFERROR(__xludf.DUMMYFUNCTION("""COMPUTED_VALUE"""),"B0D8FFDXPR")</f>
        <v>B0D8FFDXPR</v>
      </c>
      <c r="G42" s="2" t="str">
        <f ca="1">IFERROR(__xludf.DUMMYFUNCTION("""COMPUTED_VALUE"""),"C753_1139_32")</f>
        <v>C753_1139_32</v>
      </c>
      <c r="H42" s="2"/>
      <c r="I42" s="2" t="s">
        <v>24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>
        <f ca="1">IFERROR(__xludf.DUMMYFUNCTION("""COMPUTED_VALUE"""),15.5)</f>
        <v>15.5</v>
      </c>
      <c r="AA42" s="2">
        <f ca="1">IFERROR(__xludf.DUMMYFUNCTION("""COMPUTED_VALUE"""),10.8)</f>
        <v>10.8</v>
      </c>
      <c r="AB42" s="2">
        <f ca="1">IFERROR(__xludf.DUMMYFUNCTION("""COMPUTED_VALUE"""),2.9)</f>
        <v>2.9</v>
      </c>
      <c r="AC42" s="2">
        <f ca="1">IFERROR(__xludf.DUMMYFUNCTION("""COMPUTED_VALUE"""),29.2)</f>
        <v>29.2</v>
      </c>
      <c r="AD42" s="2"/>
      <c r="AE42" s="2"/>
      <c r="AF42" s="10"/>
      <c r="AG42" s="2"/>
      <c r="AH42" s="2"/>
      <c r="AI42" s="10"/>
      <c r="AJ42" s="10"/>
      <c r="AK42" s="2"/>
      <c r="AL42" s="2"/>
    </row>
    <row r="43" spans="1:38" ht="12.75">
      <c r="A43" s="7">
        <f ca="1">IFERROR(__xludf.DUMMYFUNCTION("""COMPUTED_VALUE"""),762)</f>
        <v>762</v>
      </c>
      <c r="B43" s="2"/>
      <c r="C43" s="4"/>
      <c r="D43" s="2"/>
      <c r="E43" s="2"/>
      <c r="F43" s="2" t="str">
        <f ca="1">IFERROR(__xludf.DUMMYFUNCTION("""COMPUTED_VALUE"""),"B0D7PXG7KL")</f>
        <v>B0D7PXG7KL</v>
      </c>
      <c r="G43" s="2" t="str">
        <f ca="1">IFERROR(__xludf.DUMMYFUNCTION("""COMPUTED_VALUE"""),"C762_832_337")</f>
        <v>C762_832_337</v>
      </c>
      <c r="H43" s="2"/>
      <c r="I43" s="2" t="s">
        <v>25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>
        <f ca="1">IFERROR(__xludf.DUMMYFUNCTION("""COMPUTED_VALUE"""),11.2)</f>
        <v>11.2</v>
      </c>
      <c r="AA43" s="2">
        <f ca="1">IFERROR(__xludf.DUMMYFUNCTION("""COMPUTED_VALUE"""),8.9)</f>
        <v>8.9</v>
      </c>
      <c r="AB43" s="2">
        <f ca="1">IFERROR(__xludf.DUMMYFUNCTION("""COMPUTED_VALUE"""),2.5)</f>
        <v>2.5</v>
      </c>
      <c r="AC43" s="2">
        <f ca="1">IFERROR(__xludf.DUMMYFUNCTION("""COMPUTED_VALUE"""),22.6)</f>
        <v>22.6</v>
      </c>
      <c r="AD43" s="2"/>
      <c r="AE43" s="2"/>
      <c r="AF43" s="10"/>
      <c r="AG43" s="10"/>
      <c r="AH43" s="10"/>
      <c r="AI43" s="10"/>
      <c r="AJ43" s="10"/>
      <c r="AK43" s="2"/>
      <c r="AL43" s="2"/>
    </row>
    <row r="44" spans="1:38" ht="12.75">
      <c r="A44" s="7">
        <f ca="1">IFERROR(__xludf.DUMMYFUNCTION("""COMPUTED_VALUE"""),767)</f>
        <v>767</v>
      </c>
      <c r="B44" s="2"/>
      <c r="C44" s="4"/>
      <c r="D44" s="2"/>
      <c r="E44" s="6"/>
      <c r="F44" s="2" t="str">
        <f ca="1">IFERROR(__xludf.DUMMYFUNCTION("""COMPUTED_VALUE"""),"B0D81Z2F82")</f>
        <v>B0D81Z2F82</v>
      </c>
      <c r="G44" s="2" t="str">
        <f ca="1">IFERROR(__xludf.DUMMYFUNCTION("""COMPUTED_VALUE"""),"C767_273_237
XE-YDKQ-KHYO")</f>
        <v>C767_273_237
XE-YDKQ-KHYO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10"/>
      <c r="X44" s="2" t="str">
        <f ca="1">IFERROR(__xludf.DUMMYFUNCTION("""COMPUTED_VALUE"""),"颜色:单筒 白色")</f>
        <v>颜色:单筒 白色</v>
      </c>
      <c r="Y44" s="2"/>
      <c r="Z44" s="2">
        <f ca="1">IFERROR(__xludf.DUMMYFUNCTION("""COMPUTED_VALUE"""),25.9)</f>
        <v>25.9</v>
      </c>
      <c r="AA44" s="2">
        <f ca="1">IFERROR(__xludf.DUMMYFUNCTION("""COMPUTED_VALUE"""),11.4)</f>
        <v>11.4</v>
      </c>
      <c r="AB44" s="2">
        <f ca="1">IFERROR(__xludf.DUMMYFUNCTION("""COMPUTED_VALUE"""),10.9)</f>
        <v>10.9</v>
      </c>
      <c r="AC44" s="2">
        <f ca="1">IFERROR(__xludf.DUMMYFUNCTION("""COMPUTED_VALUE"""),48.1999999999999)</f>
        <v>48.199999999999903</v>
      </c>
      <c r="AD44" s="2"/>
      <c r="AE44" s="2"/>
      <c r="AF44" s="10"/>
      <c r="AG44" s="10"/>
      <c r="AH44" s="10"/>
      <c r="AI44" s="10"/>
      <c r="AJ44" s="10"/>
      <c r="AK44" s="2"/>
      <c r="AL44" s="2"/>
    </row>
    <row r="45" spans="1:38" ht="12.75">
      <c r="A45" s="7">
        <f ca="1">IFERROR(__xludf.DUMMYFUNCTION("""COMPUTED_VALUE"""),819)</f>
        <v>819</v>
      </c>
      <c r="B45" s="2"/>
      <c r="C45" s="4"/>
      <c r="D45" s="2"/>
      <c r="E45" s="6"/>
      <c r="F45" s="2" t="str">
        <f ca="1">IFERROR(__xludf.DUMMYFUNCTION("""COMPUTED_VALUE"""),"B0DD6TV9WT")</f>
        <v>B0DD6TV9WT</v>
      </c>
      <c r="G45" s="2" t="str">
        <f ca="1">IFERROR(__xludf.DUMMYFUNCTION("""COMPUTED_VALUE"""),"C819_399_512")</f>
        <v>C819_399_512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>
        <f ca="1">IFERROR(__xludf.DUMMYFUNCTION("""COMPUTED_VALUE"""),22.4)</f>
        <v>22.4</v>
      </c>
      <c r="AA45" s="2">
        <f ca="1">IFERROR(__xludf.DUMMYFUNCTION("""COMPUTED_VALUE"""),20.9)</f>
        <v>20.9</v>
      </c>
      <c r="AB45" s="2">
        <f ca="1">IFERROR(__xludf.DUMMYFUNCTION("""COMPUTED_VALUE"""),3.7)</f>
        <v>3.7</v>
      </c>
      <c r="AC45" s="2">
        <f ca="1">IFERROR(__xludf.DUMMYFUNCTION("""COMPUTED_VALUE"""),47)</f>
        <v>47</v>
      </c>
      <c r="AD45" s="2"/>
      <c r="AE45" s="2"/>
      <c r="AF45" s="10"/>
      <c r="AG45" s="2"/>
      <c r="AH45" s="2"/>
      <c r="AI45" s="10"/>
      <c r="AJ45" s="10"/>
      <c r="AK45" s="2"/>
      <c r="AL45" s="2"/>
    </row>
    <row r="46" spans="1:38" ht="12.75">
      <c r="A46" s="7">
        <f ca="1">IFERROR(__xludf.DUMMYFUNCTION("""COMPUTED_VALUE"""),821)</f>
        <v>821</v>
      </c>
      <c r="B46" s="2"/>
      <c r="C46" s="4"/>
      <c r="D46" s="2"/>
      <c r="E46" s="6"/>
      <c r="F46" s="2" t="str">
        <f ca="1">IFERROR(__xludf.DUMMYFUNCTION("""COMPUTED_VALUE"""),"B0DCZDYQNZ")</f>
        <v>B0DCZDYQNZ</v>
      </c>
      <c r="G46" s="2" t="str">
        <f ca="1">IFERROR(__xludf.DUMMYFUNCTION("""COMPUTED_VALUE"""),"C821_1225_344")</f>
        <v>C821_1225_344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>
        <f ca="1">IFERROR(__xludf.DUMMYFUNCTION("""COMPUTED_VALUE"""),20)</f>
        <v>20</v>
      </c>
      <c r="AA46" s="2">
        <f ca="1">IFERROR(__xludf.DUMMYFUNCTION("""COMPUTED_VALUE"""),22)</f>
        <v>22</v>
      </c>
      <c r="AB46" s="2">
        <f ca="1">IFERROR(__xludf.DUMMYFUNCTION("""COMPUTED_VALUE"""),3.3)</f>
        <v>3.3</v>
      </c>
      <c r="AC46" s="2">
        <f ca="1">IFERROR(__xludf.DUMMYFUNCTION("""COMPUTED_VALUE"""),45.3)</f>
        <v>45.3</v>
      </c>
      <c r="AD46" s="2"/>
      <c r="AE46" s="2"/>
      <c r="AF46" s="10"/>
      <c r="AG46" s="2"/>
      <c r="AH46" s="2"/>
      <c r="AI46" s="10"/>
      <c r="AJ46" s="10"/>
      <c r="AK46" s="2"/>
      <c r="AL46" s="2"/>
    </row>
    <row r="47" spans="1:38" ht="12.75">
      <c r="A47" s="7">
        <f ca="1">IFERROR(__xludf.DUMMYFUNCTION("""COMPUTED_VALUE"""),831)</f>
        <v>831</v>
      </c>
      <c r="B47" s="2"/>
      <c r="C47" s="4"/>
      <c r="D47" s="2"/>
      <c r="E47" s="6"/>
      <c r="F47" s="2" t="str">
        <f ca="1">IFERROR(__xludf.DUMMYFUNCTION("""COMPUTED_VALUE"""),"B0DJN5LHMM")</f>
        <v>B0DJN5LHMM</v>
      </c>
      <c r="G47" s="2" t="str">
        <f ca="1">IFERROR(__xludf.DUMMYFUNCTION("""COMPUTED_VALUE"""),"C831_1289")</f>
        <v>C831_1289</v>
      </c>
      <c r="H47" s="2"/>
      <c r="I47" s="2" t="s">
        <v>26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f ca="1">IFERROR(__xludf.DUMMYFUNCTION("""COMPUTED_VALUE"""),10.2)</f>
        <v>10.199999999999999</v>
      </c>
      <c r="AA47" s="2">
        <f ca="1">IFERROR(__xludf.DUMMYFUNCTION("""COMPUTED_VALUE"""),8.3)</f>
        <v>8.3000000000000007</v>
      </c>
      <c r="AB47" s="2">
        <f ca="1">IFERROR(__xludf.DUMMYFUNCTION("""COMPUTED_VALUE"""),2)</f>
        <v>2</v>
      </c>
      <c r="AC47" s="2">
        <f ca="1">IFERROR(__xludf.DUMMYFUNCTION("""COMPUTED_VALUE"""),20.5)</f>
        <v>20.5</v>
      </c>
      <c r="AD47" s="2"/>
      <c r="AE47" s="2"/>
      <c r="AF47" s="10"/>
      <c r="AG47" s="2"/>
      <c r="AH47" s="2"/>
      <c r="AI47" s="10"/>
      <c r="AJ47" s="10"/>
      <c r="AK47" s="2"/>
      <c r="AL47" s="2"/>
    </row>
    <row r="48" spans="1:38" ht="12.75">
      <c r="A48" s="7">
        <f ca="1">IFERROR(__xludf.DUMMYFUNCTION("""COMPUTED_VALUE"""),854)</f>
        <v>854</v>
      </c>
      <c r="B48" s="2"/>
      <c r="C48" s="4"/>
      <c r="D48" s="2"/>
      <c r="E48" s="6"/>
      <c r="F48" s="2" t="str">
        <f ca="1">IFERROR(__xludf.DUMMYFUNCTION("""COMPUTED_VALUE"""),"B0DKH69PNP")</f>
        <v>B0DKH69PNP</v>
      </c>
      <c r="G48" s="2" t="str">
        <f ca="1">IFERROR(__xludf.DUMMYFUNCTION("""COMPUTED_VALUE"""),"C854_1387")</f>
        <v>C854_1387</v>
      </c>
      <c r="H48" s="2"/>
      <c r="I48" s="2" t="s">
        <v>27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>
        <f ca="1">IFERROR(__xludf.DUMMYFUNCTION("""COMPUTED_VALUE"""),23.9)</f>
        <v>23.9</v>
      </c>
      <c r="AA48" s="2">
        <f ca="1">IFERROR(__xludf.DUMMYFUNCTION("""COMPUTED_VALUE"""),13.6)</f>
        <v>13.6</v>
      </c>
      <c r="AB48" s="2">
        <f ca="1">IFERROR(__xludf.DUMMYFUNCTION("""COMPUTED_VALUE"""),12.1)</f>
        <v>12.1</v>
      </c>
      <c r="AC48" s="2">
        <f ca="1">IFERROR(__xludf.DUMMYFUNCTION("""COMPUTED_VALUE"""),49.6)</f>
        <v>49.6</v>
      </c>
      <c r="AD48" s="2"/>
      <c r="AE48" s="2"/>
      <c r="AF48" s="10"/>
      <c r="AG48" s="2"/>
      <c r="AH48" s="2"/>
      <c r="AI48" s="10"/>
      <c r="AJ48" s="10"/>
      <c r="AK48" s="2"/>
      <c r="AL48" s="2"/>
    </row>
    <row r="49" spans="1:39" ht="12.75">
      <c r="A49" s="7">
        <f ca="1">IFERROR(__xludf.DUMMYFUNCTION("""COMPUTED_VALUE"""),857)</f>
        <v>857</v>
      </c>
      <c r="B49" s="2"/>
      <c r="C49" s="4"/>
      <c r="D49" s="2"/>
      <c r="E49" s="6"/>
      <c r="F49" s="2" t="str">
        <f ca="1">IFERROR(__xludf.DUMMYFUNCTION("""COMPUTED_VALUE"""),"B0DKNLNHVC")</f>
        <v>B0DKNLNHVC</v>
      </c>
      <c r="G49" s="2" t="str">
        <f ca="1">IFERROR(__xludf.DUMMYFUNCTION("""COMPUTED_VALUE"""),"C857_1390")</f>
        <v>C857_1390</v>
      </c>
      <c r="H49" s="2"/>
      <c r="I49" s="2" t="s">
        <v>28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>
        <f ca="1">IFERROR(__xludf.DUMMYFUNCTION("""COMPUTED_VALUE"""),24.3)</f>
        <v>24.3</v>
      </c>
      <c r="AA49" s="2">
        <f ca="1">IFERROR(__xludf.DUMMYFUNCTION("""COMPUTED_VALUE"""),13.4)</f>
        <v>13.4</v>
      </c>
      <c r="AB49" s="2">
        <f ca="1">IFERROR(__xludf.DUMMYFUNCTION("""COMPUTED_VALUE"""),12.9)</f>
        <v>12.9</v>
      </c>
      <c r="AC49" s="2">
        <f ca="1">IFERROR(__xludf.DUMMYFUNCTION("""COMPUTED_VALUE"""),50.6)</f>
        <v>50.6</v>
      </c>
      <c r="AD49" s="2"/>
      <c r="AE49" s="2"/>
      <c r="AF49" s="10"/>
      <c r="AG49" s="2"/>
      <c r="AH49" s="2"/>
      <c r="AI49" s="10"/>
      <c r="AJ49" s="10"/>
      <c r="AK49" s="2"/>
      <c r="AL49" s="2"/>
    </row>
    <row r="50" spans="1:39" ht="12.75">
      <c r="A50" s="7">
        <f ca="1">IFERROR(__xludf.DUMMYFUNCTION("""COMPUTED_VALUE"""),901)</f>
        <v>901</v>
      </c>
      <c r="B50" s="2"/>
      <c r="C50" s="4"/>
      <c r="D50" s="2"/>
      <c r="E50" s="11"/>
      <c r="F50" s="2" t="str">
        <f ca="1">IFERROR(__xludf.DUMMYFUNCTION("""COMPUTED_VALUE"""),"B0DP3ZD7PX")</f>
        <v>B0DP3ZD7PX</v>
      </c>
      <c r="G50" s="2" t="str">
        <f ca="1">IFERROR(__xludf.DUMMYFUNCTION("""COMPUTED_VALUE"""),"C901_1411")</f>
        <v>C901_1411</v>
      </c>
      <c r="H50" s="2"/>
      <c r="I50" s="2" t="s">
        <v>29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>
        <f ca="1">IFERROR(__xludf.DUMMYFUNCTION("""COMPUTED_VALUE"""),23.6)</f>
        <v>23.6</v>
      </c>
      <c r="AA50" s="2">
        <f ca="1">IFERROR(__xludf.DUMMYFUNCTION("""COMPUTED_VALUE"""),22.9)</f>
        <v>22.9</v>
      </c>
      <c r="AB50" s="2">
        <f ca="1">IFERROR(__xludf.DUMMYFUNCTION("""COMPUTED_VALUE"""),2.9)</f>
        <v>2.9</v>
      </c>
      <c r="AC50" s="2">
        <f ca="1">IFERROR(__xludf.DUMMYFUNCTION("""COMPUTED_VALUE"""),49.4)</f>
        <v>49.4</v>
      </c>
      <c r="AD50" s="2"/>
      <c r="AE50" s="2"/>
      <c r="AF50" s="10"/>
      <c r="AG50" s="10"/>
      <c r="AH50" s="10"/>
      <c r="AI50" s="10"/>
      <c r="AJ50" s="10"/>
      <c r="AK50" s="2"/>
      <c r="AL50" s="2"/>
    </row>
    <row r="51" spans="1:39" ht="12.75">
      <c r="A51" s="7">
        <f ca="1">IFERROR(__xludf.DUMMYFUNCTION("""COMPUTED_VALUE"""),922)</f>
        <v>922</v>
      </c>
      <c r="B51" s="2"/>
      <c r="C51" s="4"/>
      <c r="D51" s="2"/>
      <c r="E51" s="6"/>
      <c r="F51" s="2" t="str">
        <f ca="1">IFERROR(__xludf.DUMMYFUNCTION("""COMPUTED_VALUE"""),"B0DPD72RF5")</f>
        <v>B0DPD72RF5</v>
      </c>
      <c r="G51" s="2" t="str">
        <f ca="1">IFERROR(__xludf.DUMMYFUNCTION("""COMPUTED_VALUE"""),"C922_1420")</f>
        <v>C922_1420</v>
      </c>
      <c r="H51" s="2"/>
      <c r="I51" s="2" t="s">
        <v>30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>
        <f ca="1">IFERROR(__xludf.DUMMYFUNCTION("""COMPUTED_VALUE"""),25.4)</f>
        <v>25.4</v>
      </c>
      <c r="AA51" s="2">
        <f ca="1">IFERROR(__xludf.DUMMYFUNCTION("""COMPUTED_VALUE"""),18.3)</f>
        <v>18.3</v>
      </c>
      <c r="AB51" s="2">
        <f ca="1">IFERROR(__xludf.DUMMYFUNCTION("""COMPUTED_VALUE"""),8.8)</f>
        <v>8.8000000000000007</v>
      </c>
      <c r="AC51" s="2">
        <f ca="1">IFERROR(__xludf.DUMMYFUNCTION("""COMPUTED_VALUE"""),52.5)</f>
        <v>52.5</v>
      </c>
      <c r="AD51" s="2"/>
      <c r="AE51" s="2"/>
      <c r="AF51" s="2"/>
      <c r="AG51" s="2"/>
      <c r="AH51" s="2"/>
      <c r="AI51" s="10"/>
      <c r="AJ51" s="10"/>
      <c r="AK51" s="2"/>
      <c r="AL51" s="2"/>
    </row>
    <row r="52" spans="1:39" ht="12.75">
      <c r="A52" s="7">
        <f ca="1">IFERROR(__xludf.DUMMYFUNCTION("""COMPUTED_VALUE"""),924)</f>
        <v>924</v>
      </c>
      <c r="B52" s="2"/>
      <c r="C52" s="4"/>
      <c r="D52" s="2"/>
      <c r="E52" s="2"/>
      <c r="F52" s="2" t="str">
        <f ca="1">IFERROR(__xludf.DUMMYFUNCTION("""COMPUTED_VALUE"""),"B0DP2JCFHK")</f>
        <v>B0DP2JCFHK</v>
      </c>
      <c r="G52" s="2" t="str">
        <f ca="1">IFERROR(__xludf.DUMMYFUNCTION("""COMPUTED_VALUE"""),"C924_1127")</f>
        <v>C924_1127</v>
      </c>
      <c r="H52" s="2"/>
      <c r="I52" s="2" t="s">
        <v>31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>
        <f ca="1">IFERROR(__xludf.DUMMYFUNCTION("""COMPUTED_VALUE"""),26)</f>
        <v>26</v>
      </c>
      <c r="AA52" s="2">
        <f ca="1">IFERROR(__xludf.DUMMYFUNCTION("""COMPUTED_VALUE"""),23)</f>
        <v>23</v>
      </c>
      <c r="AB52" s="2">
        <f ca="1">IFERROR(__xludf.DUMMYFUNCTION("""COMPUTED_VALUE"""),3.3)</f>
        <v>3.3</v>
      </c>
      <c r="AC52" s="2">
        <f ca="1">IFERROR(__xludf.DUMMYFUNCTION("""COMPUTED_VALUE"""),52.3)</f>
        <v>52.3</v>
      </c>
      <c r="AD52" s="2"/>
      <c r="AE52" s="2"/>
      <c r="AF52" s="10"/>
      <c r="AG52" s="2"/>
      <c r="AH52" s="2"/>
      <c r="AI52" s="2"/>
      <c r="AJ52" s="10"/>
      <c r="AK52" s="2"/>
      <c r="AL52" s="2"/>
    </row>
    <row r="53" spans="1:39" ht="12.75">
      <c r="A53" s="7">
        <f ca="1">IFERROR(__xludf.DUMMYFUNCTION("""COMPUTED_VALUE"""),930)</f>
        <v>930</v>
      </c>
      <c r="B53" s="2"/>
      <c r="C53" s="4"/>
      <c r="D53" s="2"/>
      <c r="E53" s="6"/>
      <c r="F53" s="2" t="str">
        <f ca="1">IFERROR(__xludf.DUMMYFUNCTION("""COMPUTED_VALUE"""),"B0DPVZ7RV9")</f>
        <v>B0DPVZ7RV9</v>
      </c>
      <c r="G53" s="2" t="str">
        <f ca="1">IFERROR(__xludf.DUMMYFUNCTION("""COMPUTED_VALUE"""),"C930_826")</f>
        <v>C930_826</v>
      </c>
      <c r="H53" s="2"/>
      <c r="I53" s="2" t="s">
        <v>32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>
        <f ca="1">IFERROR(__xludf.DUMMYFUNCTION("""COMPUTED_VALUE"""),32.2)</f>
        <v>32.200000000000003</v>
      </c>
      <c r="AA53" s="2">
        <f ca="1">IFERROR(__xludf.DUMMYFUNCTION("""COMPUTED_VALUE"""),26.8)</f>
        <v>26.8</v>
      </c>
      <c r="AB53" s="2">
        <f ca="1">IFERROR(__xludf.DUMMYFUNCTION("""COMPUTED_VALUE"""),2.2)</f>
        <v>2.2000000000000002</v>
      </c>
      <c r="AC53" s="2">
        <f ca="1">IFERROR(__xludf.DUMMYFUNCTION("""COMPUTED_VALUE"""),61.2)</f>
        <v>61.2</v>
      </c>
      <c r="AD53" s="2"/>
      <c r="AE53" s="2"/>
      <c r="AF53" s="10"/>
      <c r="AG53" s="2"/>
      <c r="AH53" s="2"/>
      <c r="AI53" s="10"/>
      <c r="AJ53" s="10"/>
      <c r="AK53" s="2"/>
      <c r="AL53" s="2"/>
    </row>
    <row r="54" spans="1:39" ht="12.75">
      <c r="A54" s="7">
        <f ca="1">IFERROR(__xludf.DUMMYFUNCTION("""COMPUTED_VALUE"""),992)</f>
        <v>992</v>
      </c>
      <c r="B54" s="2"/>
      <c r="C54" s="4"/>
      <c r="D54" s="2"/>
      <c r="E54" s="2"/>
      <c r="F54" s="2" t="str">
        <f ca="1">IFERROR(__xludf.DUMMYFUNCTION("""COMPUTED_VALUE"""),"B0DSRM9H1P")</f>
        <v>B0DSRM9H1P</v>
      </c>
      <c r="G54" s="2" t="str">
        <f ca="1">IFERROR(__xludf.DUMMYFUNCTION("""COMPUTED_VALUE"""),"C992_1228")</f>
        <v>C992_1228</v>
      </c>
      <c r="H54" s="2"/>
      <c r="I54" s="2" t="s">
        <v>33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 ca="1">IFERROR(__xludf.DUMMYFUNCTION("""COMPUTED_VALUE"""),16.3)</f>
        <v>16.3</v>
      </c>
      <c r="AA54" s="2">
        <f ca="1">IFERROR(__xludf.DUMMYFUNCTION("""COMPUTED_VALUE"""),12.2)</f>
        <v>12.2</v>
      </c>
      <c r="AB54" s="2">
        <f ca="1">IFERROR(__xludf.DUMMYFUNCTION("""COMPUTED_VALUE"""),3.6)</f>
        <v>3.6</v>
      </c>
      <c r="AC54" s="2">
        <f ca="1">IFERROR(__xludf.DUMMYFUNCTION("""COMPUTED_VALUE"""),32.1)</f>
        <v>32.1</v>
      </c>
      <c r="AD54" s="2"/>
      <c r="AE54" s="2"/>
      <c r="AF54" s="10"/>
      <c r="AG54" s="10"/>
      <c r="AH54" s="2"/>
      <c r="AI54" s="2"/>
      <c r="AJ54" s="10"/>
      <c r="AK54" s="2"/>
      <c r="AL54" s="2"/>
    </row>
    <row r="56" spans="1:39" ht="12.75">
      <c r="A56" s="2" t="str">
        <f ca="1">IFERROR(__xludf.DUMMYFUNCTION("importrange(""https://docs.google.com/spreadsheets/d/1BvvU8Dlle5l5I3dn7AG0lhlktM0x0-ZBNCBnYj_UmVA/edit?gid=19088387#gid=19088387"",""'Jancode'!A17:AM1015"")"),"No.")</f>
        <v>No.</v>
      </c>
      <c r="B56" s="2"/>
      <c r="C56" s="2"/>
      <c r="D56" s="2"/>
      <c r="E56" s="6"/>
      <c r="F56" s="6" t="str">
        <f ca="1">IFERROR(__xludf.DUMMYFUNCTION("""COMPUTED_VALUE"""),"ASIN")</f>
        <v>ASIN</v>
      </c>
      <c r="G56" s="2" t="str">
        <f ca="1">IFERROR(__xludf.DUMMYFUNCTION("""COMPUTED_VALUE"""),"SKU")</f>
        <v>SKU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tr">
        <f ca="1">IFERROR(__xludf.DUMMYFUNCTION("""COMPUTED_VALUE"""),"発送重量 KG")</f>
        <v>発送重量 KG</v>
      </c>
      <c r="Y56" s="2" t="str">
        <f ca="1">IFERROR(__xludf.DUMMYFUNCTION("""COMPUTED_VALUE"""),"サイズ区分")</f>
        <v>サイズ区分</v>
      </c>
      <c r="Z56" s="2" t="str">
        <f ca="1">IFERROR(__xludf.DUMMYFUNCTION("""COMPUTED_VALUE"""),"包装の寸法 ＣＭ")</f>
        <v>包装の寸法 ＣＭ</v>
      </c>
      <c r="AA56" s="2"/>
      <c r="AB56" s="2"/>
      <c r="AC56" s="2" t="str">
        <f ca="1">IFERROR(__xludf.DUMMYFUNCTION("""COMPUTED_VALUE"""),"商品パッケージ
の重量 g")</f>
        <v>商品パッケージ
の重量 g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2.75">
      <c r="A57" s="7">
        <f ca="1">IFERROR(__xludf.DUMMYFUNCTION("""COMPUTED_VALUE"""),6)</f>
        <v>6</v>
      </c>
      <c r="B57" s="2"/>
      <c r="C57" s="4"/>
      <c r="D57" s="2"/>
      <c r="E57" s="6"/>
      <c r="F57" s="6" t="str">
        <f ca="1">IFERROR(__xludf.DUMMYFUNCTION("""COMPUTED_VALUE"""),"B0DXB4P8MJ")</f>
        <v>B0DXB4P8MJ</v>
      </c>
      <c r="G57" s="2" t="str">
        <f ca="1">IFERROR(__xludf.DUMMYFUNCTION("""COMPUTED_VALUE"""),"D6_10")</f>
        <v>D6_10</v>
      </c>
      <c r="H57" s="2"/>
      <c r="I57" s="2" t="s">
        <v>34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>
        <f ca="1">IFERROR(__xludf.DUMMYFUNCTION("""COMPUTED_VALUE"""),0.1)</f>
        <v>0.1</v>
      </c>
      <c r="Y57" s="2"/>
      <c r="Z57" s="2">
        <f ca="1">IFERROR(__xludf.DUMMYFUNCTION("""COMPUTED_VALUE"""),21)</f>
        <v>21</v>
      </c>
      <c r="AA57" s="2">
        <f ca="1">IFERROR(__xludf.DUMMYFUNCTION("""COMPUTED_VALUE"""),13)</f>
        <v>13</v>
      </c>
      <c r="AB57" s="2">
        <f ca="1">IFERROR(__xludf.DUMMYFUNCTION("""COMPUTED_VALUE"""),6)</f>
        <v>6</v>
      </c>
      <c r="AC57" s="2">
        <f ca="1">IFERROR(__xludf.DUMMYFUNCTION("""COMPUTED_VALUE"""),40)</f>
        <v>40</v>
      </c>
      <c r="AD57" s="2"/>
      <c r="AE57" s="2"/>
      <c r="AF57" s="10"/>
      <c r="AG57" s="2"/>
      <c r="AH57" s="2"/>
      <c r="AI57" s="10"/>
      <c r="AJ57" s="10"/>
      <c r="AK57" s="2"/>
      <c r="AL57" s="2"/>
      <c r="AM57" s="2"/>
    </row>
    <row r="58" spans="1:39" ht="12.75">
      <c r="A58" s="7">
        <f ca="1">IFERROR(__xludf.DUMMYFUNCTION("""COMPUTED_VALUE"""),25)</f>
        <v>25</v>
      </c>
      <c r="B58" s="2"/>
      <c r="C58" s="4"/>
      <c r="D58" s="2"/>
      <c r="E58" s="6"/>
      <c r="F58" s="6" t="str">
        <f ca="1">IFERROR(__xludf.DUMMYFUNCTION("""COMPUTED_VALUE"""),"B0DWF1N7LZ")</f>
        <v>B0DWF1N7LZ</v>
      </c>
      <c r="G58" s="2" t="str">
        <f ca="1">IFERROR(__xludf.DUMMYFUNCTION("""COMPUTED_VALUE"""),"D25_C_423")</f>
        <v>D25_C_423</v>
      </c>
      <c r="H58" s="2"/>
      <c r="I58" s="2" t="s">
        <v>35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>
        <f ca="1">IFERROR(__xludf.DUMMYFUNCTION("""COMPUTED_VALUE"""),0.11)</f>
        <v>0.11</v>
      </c>
      <c r="Y58" s="2"/>
      <c r="Z58" s="2">
        <f ca="1">IFERROR(__xludf.DUMMYFUNCTION("""COMPUTED_VALUE"""),24.3)</f>
        <v>24.3</v>
      </c>
      <c r="AA58" s="2">
        <f ca="1">IFERROR(__xludf.DUMMYFUNCTION("""COMPUTED_VALUE"""),15.7)</f>
        <v>15.7</v>
      </c>
      <c r="AB58" s="2">
        <f ca="1">IFERROR(__xludf.DUMMYFUNCTION("""COMPUTED_VALUE"""),3.2)</f>
        <v>3.2</v>
      </c>
      <c r="AC58" s="2">
        <f ca="1">IFERROR(__xludf.DUMMYFUNCTION("""COMPUTED_VALUE"""),43.2)</f>
        <v>43.2</v>
      </c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2.75">
      <c r="A59" s="7">
        <f ca="1">IFERROR(__xludf.DUMMYFUNCTION("""COMPUTED_VALUE"""),39)</f>
        <v>39</v>
      </c>
      <c r="B59" s="2"/>
      <c r="C59" s="4"/>
      <c r="D59" s="2"/>
      <c r="E59" s="6"/>
      <c r="F59" s="6" t="str">
        <f ca="1">IFERROR(__xludf.DUMMYFUNCTION("""COMPUTED_VALUE"""),"B0DX11BGV2")</f>
        <v>B0DX11BGV2</v>
      </c>
      <c r="G59" s="2" t="str">
        <f ca="1">IFERROR(__xludf.DUMMYFUNCTION("""COMPUTED_VALUE"""),"D39_C_315")</f>
        <v>D39_C_315</v>
      </c>
      <c r="H59" s="2"/>
      <c r="I59" s="2" t="s">
        <v>36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>
        <f ca="1">IFERROR(__xludf.DUMMYFUNCTION("""COMPUTED_VALUE"""),0.46)</f>
        <v>0.46</v>
      </c>
      <c r="Y59" s="2"/>
      <c r="Z59" s="2">
        <f ca="1">IFERROR(__xludf.DUMMYFUNCTION("""COMPUTED_VALUE"""),30)</f>
        <v>30</v>
      </c>
      <c r="AA59" s="2">
        <f ca="1">IFERROR(__xludf.DUMMYFUNCTION("""COMPUTED_VALUE"""),17)</f>
        <v>17</v>
      </c>
      <c r="AB59" s="2">
        <f ca="1">IFERROR(__xludf.DUMMYFUNCTION("""COMPUTED_VALUE"""),3)</f>
        <v>3</v>
      </c>
      <c r="AC59" s="2">
        <f ca="1">IFERROR(__xludf.DUMMYFUNCTION("""COMPUTED_VALUE"""),50)</f>
        <v>50</v>
      </c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2.75">
      <c r="A60" s="7">
        <f ca="1">IFERROR(__xludf.DUMMYFUNCTION("""COMPUTED_VALUE"""),64)</f>
        <v>64</v>
      </c>
      <c r="B60" s="2"/>
      <c r="C60" s="4"/>
      <c r="D60" s="2"/>
      <c r="E60" s="6"/>
      <c r="F60" s="6" t="str">
        <f ca="1">IFERROR(__xludf.DUMMYFUNCTION("""COMPUTED_VALUE"""),"B0DYJ19TR4")</f>
        <v>B0DYJ19TR4</v>
      </c>
      <c r="G60" s="2" t="str">
        <f ca="1">IFERROR(__xludf.DUMMYFUNCTION("""COMPUTED_VALUE"""),"D64_C_149")</f>
        <v>D64_C_149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>
        <f ca="1">IFERROR(__xludf.DUMMYFUNCTION("""COMPUTED_VALUE"""),0.07)</f>
        <v>7.0000000000000007E-2</v>
      </c>
      <c r="Y60" s="2"/>
      <c r="Z60" s="2">
        <f ca="1">IFERROR(__xludf.DUMMYFUNCTION("""COMPUTED_VALUE"""),22)</f>
        <v>22</v>
      </c>
      <c r="AA60" s="2">
        <f ca="1">IFERROR(__xludf.DUMMYFUNCTION("""COMPUTED_VALUE"""),8)</f>
        <v>8</v>
      </c>
      <c r="AB60" s="2">
        <f ca="1">IFERROR(__xludf.DUMMYFUNCTION("""COMPUTED_VALUE"""),8)</f>
        <v>8</v>
      </c>
      <c r="AC60" s="2">
        <f ca="1">IFERROR(__xludf.DUMMYFUNCTION("""COMPUTED_VALUE"""),38)</f>
        <v>38</v>
      </c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2.75">
      <c r="A61" s="7">
        <f ca="1">IFERROR(__xludf.DUMMYFUNCTION("""COMPUTED_VALUE"""),69)</f>
        <v>69</v>
      </c>
      <c r="B61" s="2"/>
      <c r="C61" s="4"/>
      <c r="D61" s="2"/>
      <c r="E61" s="6"/>
      <c r="F61" s="6" t="str">
        <f ca="1">IFERROR(__xludf.DUMMYFUNCTION("""COMPUTED_VALUE"""),"B0DZPBC7CY")</f>
        <v>B0DZPBC7CY</v>
      </c>
      <c r="G61" s="2" t="str">
        <f ca="1">IFERROR(__xludf.DUMMYFUNCTION("""COMPUTED_VALUE"""),"D69_61")</f>
        <v>D69_61</v>
      </c>
      <c r="H61" s="2"/>
      <c r="I61" s="2" t="s">
        <v>37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>
        <f ca="1">IFERROR(__xludf.DUMMYFUNCTION("""COMPUTED_VALUE"""),0.5)</f>
        <v>0.5</v>
      </c>
      <c r="Y61" s="2"/>
      <c r="Z61" s="2">
        <f ca="1">IFERROR(__xludf.DUMMYFUNCTION("""COMPUTED_VALUE"""),22.5)</f>
        <v>22.5</v>
      </c>
      <c r="AA61" s="2">
        <f ca="1">IFERROR(__xludf.DUMMYFUNCTION("""COMPUTED_VALUE"""),18.6)</f>
        <v>18.600000000000001</v>
      </c>
      <c r="AB61" s="2">
        <f ca="1">IFERROR(__xludf.DUMMYFUNCTION("""COMPUTED_VALUE"""),6.4)</f>
        <v>6.4</v>
      </c>
      <c r="AC61" s="2">
        <f ca="1">IFERROR(__xludf.DUMMYFUNCTION("""COMPUTED_VALUE"""),47.5)</f>
        <v>47.5</v>
      </c>
      <c r="AD61" s="2"/>
      <c r="AE61" s="2"/>
      <c r="AF61" s="2"/>
      <c r="AG61" s="2"/>
      <c r="AH61" s="2"/>
      <c r="AI61" s="10"/>
      <c r="AJ61" s="10"/>
      <c r="AK61" s="2"/>
      <c r="AL61" s="2"/>
      <c r="AM61" s="2"/>
    </row>
    <row r="62" spans="1:39" ht="12.75">
      <c r="A62" s="7">
        <f ca="1">IFERROR(__xludf.DUMMYFUNCTION("""COMPUTED_VALUE"""),100)</f>
        <v>100</v>
      </c>
      <c r="B62" s="2"/>
      <c r="C62" s="4"/>
      <c r="D62" s="2"/>
      <c r="E62" s="6"/>
      <c r="F62" s="6" t="str">
        <f ca="1">IFERROR(__xludf.DUMMYFUNCTION("""COMPUTED_VALUE"""),"B0F27MCTCR")</f>
        <v>B0F27MCTCR</v>
      </c>
      <c r="G62" s="2" t="str">
        <f ca="1">IFERROR(__xludf.DUMMYFUNCTION("""COMPUTED_VALUE"""),"D100_66")</f>
        <v>D100_66</v>
      </c>
      <c r="H62" s="2"/>
      <c r="I62" s="2" t="s">
        <v>38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>
        <f ca="1">IFERROR(__xludf.DUMMYFUNCTION("""COMPUTED_VALUE"""),0.44)</f>
        <v>0.44</v>
      </c>
      <c r="Y62" s="2"/>
      <c r="Z62" s="2">
        <f ca="1">IFERROR(__xludf.DUMMYFUNCTION("""COMPUTED_VALUE"""),23)</f>
        <v>23</v>
      </c>
      <c r="AA62" s="2">
        <f ca="1">IFERROR(__xludf.DUMMYFUNCTION("""COMPUTED_VALUE"""),17)</f>
        <v>17</v>
      </c>
      <c r="AB62" s="2">
        <f ca="1">IFERROR(__xludf.DUMMYFUNCTION("""COMPUTED_VALUE"""),2.9)</f>
        <v>2.9</v>
      </c>
      <c r="AC62" s="2">
        <f ca="1">IFERROR(__xludf.DUMMYFUNCTION("""COMPUTED_VALUE"""),42.9)</f>
        <v>42.9</v>
      </c>
      <c r="AD62" s="2"/>
      <c r="AE62" s="2"/>
      <c r="AF62" s="10"/>
      <c r="AG62" s="2"/>
      <c r="AH62" s="2"/>
      <c r="AI62" s="10"/>
      <c r="AJ62" s="10"/>
      <c r="AK62" s="2"/>
      <c r="AL62" s="2"/>
      <c r="AM62" s="2"/>
    </row>
    <row r="63" spans="1:39" ht="12.75">
      <c r="A63" s="7">
        <f ca="1">IFERROR(__xludf.DUMMYFUNCTION("""COMPUTED_VALUE"""),105)</f>
        <v>105</v>
      </c>
      <c r="B63" s="2"/>
      <c r="C63" s="4"/>
      <c r="D63" s="2"/>
      <c r="E63" s="11"/>
      <c r="F63" s="6" t="str">
        <f ca="1">IFERROR(__xludf.DUMMYFUNCTION("""COMPUTED_VALUE"""),"B0F3X7VVWW")</f>
        <v>B0F3X7VVWW</v>
      </c>
      <c r="G63" s="2" t="str">
        <f ca="1">IFERROR(__xludf.DUMMYFUNCTION("""COMPUTED_VALUE"""),"D105_87")</f>
        <v>D105_87</v>
      </c>
      <c r="H63" s="2"/>
      <c r="I63" s="2" t="s">
        <v>39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>
        <f ca="1">IFERROR(__xludf.DUMMYFUNCTION("""COMPUTED_VALUE"""),1.12)</f>
        <v>1.1200000000000001</v>
      </c>
      <c r="Y63" s="2"/>
      <c r="Z63" s="2">
        <f ca="1">IFERROR(__xludf.DUMMYFUNCTION("""COMPUTED_VALUE"""),11.9)</f>
        <v>11.9</v>
      </c>
      <c r="AA63" s="2">
        <f ca="1">IFERROR(__xludf.DUMMYFUNCTION("""COMPUTED_VALUE"""),11)</f>
        <v>11</v>
      </c>
      <c r="AB63" s="2">
        <f ca="1">IFERROR(__xludf.DUMMYFUNCTION("""COMPUTED_VALUE"""),3.1)</f>
        <v>3.1</v>
      </c>
      <c r="AC63" s="2">
        <f ca="1">IFERROR(__xludf.DUMMYFUNCTION("""COMPUTED_VALUE"""),26)</f>
        <v>26</v>
      </c>
      <c r="AD63" s="2"/>
      <c r="AE63" s="2"/>
      <c r="AF63" s="2"/>
      <c r="AG63" s="2"/>
      <c r="AH63" s="2"/>
      <c r="AI63" s="10"/>
      <c r="AJ63" s="10"/>
      <c r="AK63" s="2"/>
      <c r="AL63" s="2"/>
      <c r="AM63" s="2"/>
    </row>
    <row r="64" spans="1:39" ht="12.75">
      <c r="A64" s="7">
        <f ca="1">IFERROR(__xludf.DUMMYFUNCTION("""COMPUTED_VALUE"""),152)</f>
        <v>152</v>
      </c>
      <c r="B64" s="2"/>
      <c r="C64" s="4"/>
      <c r="D64" s="2"/>
      <c r="E64" s="11"/>
      <c r="F64" s="6" t="str">
        <f ca="1">IFERROR(__xludf.DUMMYFUNCTION("""COMPUTED_VALUE"""),"B0F52W697W")</f>
        <v>B0F52W697W</v>
      </c>
      <c r="G64" s="2" t="str">
        <f ca="1">IFERROR(__xludf.DUMMYFUNCTION("""COMPUTED_VALUE"""),"D152_C_760")</f>
        <v>D152_C_760</v>
      </c>
      <c r="H64" s="2"/>
      <c r="I64" s="2" t="s">
        <v>40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>
        <f ca="1">IFERROR(__xludf.DUMMYFUNCTION("""COMPUTED_VALUE"""),1.4)</f>
        <v>1.4</v>
      </c>
      <c r="Y64" s="2"/>
      <c r="Z64" s="2">
        <f ca="1">IFERROR(__xludf.DUMMYFUNCTION("""COMPUTED_VALUE"""),18.5)</f>
        <v>18.5</v>
      </c>
      <c r="AA64" s="2">
        <f ca="1">IFERROR(__xludf.DUMMYFUNCTION("""COMPUTED_VALUE"""),7)</f>
        <v>7</v>
      </c>
      <c r="AB64" s="2">
        <f ca="1">IFERROR(__xludf.DUMMYFUNCTION("""COMPUTED_VALUE"""),4.4)</f>
        <v>4.4000000000000004</v>
      </c>
      <c r="AC64" s="2">
        <f ca="1">IFERROR(__xludf.DUMMYFUNCTION("""COMPUTED_VALUE"""),29.9)</f>
        <v>29.9</v>
      </c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2.75">
      <c r="A65" s="7">
        <f ca="1">IFERROR(__xludf.DUMMYFUNCTION("""COMPUTED_VALUE"""),153)</f>
        <v>153</v>
      </c>
      <c r="B65" s="2"/>
      <c r="C65" s="4"/>
      <c r="D65" s="2"/>
      <c r="E65" s="11"/>
      <c r="F65" s="6" t="str">
        <f ca="1">IFERROR(__xludf.DUMMYFUNCTION("""COMPUTED_VALUE"""),"B0F52MWYNF")</f>
        <v>B0F52MWYNF</v>
      </c>
      <c r="G65" s="2" t="str">
        <f ca="1">IFERROR(__xludf.DUMMYFUNCTION("""COMPUTED_VALUE"""),"D153_C_760")</f>
        <v>D153_C_760</v>
      </c>
      <c r="H65" s="2"/>
      <c r="I65" s="2" t="s">
        <v>41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>
        <f ca="1">IFERROR(__xludf.DUMMYFUNCTION("""COMPUTED_VALUE"""),0.32)</f>
        <v>0.32</v>
      </c>
      <c r="Y65" s="2"/>
      <c r="Z65" s="2">
        <f ca="1">IFERROR(__xludf.DUMMYFUNCTION("""COMPUTED_VALUE"""),30)</f>
        <v>30</v>
      </c>
      <c r="AA65" s="2">
        <f ca="1">IFERROR(__xludf.DUMMYFUNCTION("""COMPUTED_VALUE"""),5)</f>
        <v>5</v>
      </c>
      <c r="AB65" s="2">
        <f ca="1">IFERROR(__xludf.DUMMYFUNCTION("""COMPUTED_VALUE"""),5)</f>
        <v>5</v>
      </c>
      <c r="AC65" s="2">
        <f ca="1">IFERROR(__xludf.DUMMYFUNCTION("""COMPUTED_VALUE"""),40)</f>
        <v>40</v>
      </c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2.75">
      <c r="A66" s="7">
        <f ca="1">IFERROR(__xludf.DUMMYFUNCTION("""COMPUTED_VALUE"""),155)</f>
        <v>155</v>
      </c>
      <c r="B66" s="2"/>
      <c r="C66" s="4"/>
      <c r="D66" s="2"/>
      <c r="E66" s="11"/>
      <c r="F66" s="6" t="str">
        <f ca="1">IFERROR(__xludf.DUMMYFUNCTION("""COMPUTED_VALUE"""),"B0F52K3V1X")</f>
        <v>B0F52K3V1X</v>
      </c>
      <c r="G66" s="2" t="str">
        <f ca="1">IFERROR(__xludf.DUMMYFUNCTION("""COMPUTED_VALUE"""),"D155_C_510")</f>
        <v>D155_C_510</v>
      </c>
      <c r="H66" s="2"/>
      <c r="I66" s="2" t="s">
        <v>42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>
        <f ca="1">IFERROR(__xludf.DUMMYFUNCTION("""COMPUTED_VALUE"""),0.39)</f>
        <v>0.39</v>
      </c>
      <c r="Y66" s="2"/>
      <c r="Z66" s="2">
        <f ca="1">IFERROR(__xludf.DUMMYFUNCTION("""COMPUTED_VALUE"""),30.8)</f>
        <v>30.8</v>
      </c>
      <c r="AA66" s="2">
        <f ca="1">IFERROR(__xludf.DUMMYFUNCTION("""COMPUTED_VALUE"""),30.8)</f>
        <v>30.8</v>
      </c>
      <c r="AB66" s="2">
        <f ca="1">IFERROR(__xludf.DUMMYFUNCTION("""COMPUTED_VALUE"""),6.4)</f>
        <v>6.4</v>
      </c>
      <c r="AC66" s="2">
        <f ca="1">IFERROR(__xludf.DUMMYFUNCTION("""COMPUTED_VALUE"""),68)</f>
        <v>68</v>
      </c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2.75">
      <c r="A67" s="7">
        <f ca="1">IFERROR(__xludf.DUMMYFUNCTION("""COMPUTED_VALUE"""),163)</f>
        <v>163</v>
      </c>
      <c r="B67" s="2"/>
      <c r="C67" s="4"/>
      <c r="D67" s="2"/>
      <c r="E67" s="6"/>
      <c r="F67" s="6" t="str">
        <f ca="1">IFERROR(__xludf.DUMMYFUNCTION("""COMPUTED_VALUE"""),"B0F66W32Z7")</f>
        <v>B0F66W32Z7</v>
      </c>
      <c r="G67" s="2" t="str">
        <f ca="1">IFERROR(__xludf.DUMMYFUNCTION("""COMPUTED_VALUE"""),"D163_C_1355")</f>
        <v>D163_C_1355</v>
      </c>
      <c r="H67" s="2"/>
      <c r="I67" s="2" t="s">
        <v>43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>
        <f ca="1">IFERROR(__xludf.DUMMYFUNCTION("""COMPUTED_VALUE"""),0.065)</f>
        <v>6.5000000000000002E-2</v>
      </c>
      <c r="Y67" s="2"/>
      <c r="Z67" s="2">
        <f ca="1">IFERROR(__xludf.DUMMYFUNCTION("""COMPUTED_VALUE"""),33.6)</f>
        <v>33.6</v>
      </c>
      <c r="AA67" s="2">
        <f ca="1">IFERROR(__xludf.DUMMYFUNCTION("""COMPUTED_VALUE"""),19.9)</f>
        <v>19.899999999999999</v>
      </c>
      <c r="AB67" s="2">
        <f ca="1">IFERROR(__xludf.DUMMYFUNCTION("""COMPUTED_VALUE"""),16.4)</f>
        <v>16.399999999999999</v>
      </c>
      <c r="AC67" s="2">
        <f ca="1">IFERROR(__xludf.DUMMYFUNCTION("""COMPUTED_VALUE"""),69.9)</f>
        <v>69.900000000000006</v>
      </c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2.75">
      <c r="A68" s="7">
        <f ca="1">IFERROR(__xludf.DUMMYFUNCTION("""COMPUTED_VALUE"""),168)</f>
        <v>168</v>
      </c>
      <c r="B68" s="2"/>
      <c r="C68" s="4"/>
      <c r="D68" s="2"/>
      <c r="E68" s="6"/>
      <c r="F68" s="6" t="str">
        <f ca="1">IFERROR(__xludf.DUMMYFUNCTION("""COMPUTED_VALUE"""),"B0F66ZW4HP")</f>
        <v>B0F66ZW4HP</v>
      </c>
      <c r="G68" s="2" t="str">
        <f ca="1">IFERROR(__xludf.DUMMYFUNCTION("""COMPUTED_VALUE"""),"D168_C_1355")</f>
        <v>D168_C_1355</v>
      </c>
      <c r="H68" s="2"/>
      <c r="I68" s="2" t="s">
        <v>44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>
        <f ca="1">IFERROR(__xludf.DUMMYFUNCTION("""COMPUTED_VALUE"""),27)</f>
        <v>27</v>
      </c>
      <c r="AA68" s="2">
        <f ca="1">IFERROR(__xludf.DUMMYFUNCTION("""COMPUTED_VALUE"""),18)</f>
        <v>18</v>
      </c>
      <c r="AB68" s="2">
        <f ca="1">IFERROR(__xludf.DUMMYFUNCTION("""COMPUTED_VALUE"""),13)</f>
        <v>13</v>
      </c>
      <c r="AC68" s="2">
        <f ca="1">IFERROR(__xludf.DUMMYFUNCTION("""COMPUTED_VALUE"""),58)</f>
        <v>58</v>
      </c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2.75">
      <c r="A69" s="7">
        <f ca="1">IFERROR(__xludf.DUMMYFUNCTION("""COMPUTED_VALUE"""),171)</f>
        <v>171</v>
      </c>
      <c r="B69" s="2"/>
      <c r="C69" s="4"/>
      <c r="D69" s="2"/>
      <c r="E69" s="6"/>
      <c r="F69" s="6" t="str">
        <f ca="1">IFERROR(__xludf.DUMMYFUNCTION("""COMPUTED_VALUE"""),"B0F66ZS4PC")</f>
        <v>B0F66ZS4PC</v>
      </c>
      <c r="G69" s="2" t="str">
        <f ca="1">IFERROR(__xludf.DUMMYFUNCTION("""COMPUTED_VALUE"""),"D171_107")</f>
        <v>D171_107</v>
      </c>
      <c r="H69" s="2"/>
      <c r="I69" s="2" t="s">
        <v>45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>
        <f ca="1">IFERROR(__xludf.DUMMYFUNCTION("""COMPUTED_VALUE"""),29)</f>
        <v>29</v>
      </c>
      <c r="AA69" s="2">
        <f ca="1">IFERROR(__xludf.DUMMYFUNCTION("""COMPUTED_VALUE"""),15)</f>
        <v>15</v>
      </c>
      <c r="AB69" s="2">
        <f ca="1">IFERROR(__xludf.DUMMYFUNCTION("""COMPUTED_VALUE"""),3)</f>
        <v>3</v>
      </c>
      <c r="AC69" s="2">
        <f ca="1">IFERROR(__xludf.DUMMYFUNCTION("""COMPUTED_VALUE"""),47)</f>
        <v>47</v>
      </c>
      <c r="AD69" s="2"/>
      <c r="AE69" s="2"/>
      <c r="AF69" s="10"/>
      <c r="AG69" s="2"/>
      <c r="AH69" s="2"/>
      <c r="AI69" s="10"/>
      <c r="AJ69" s="10"/>
      <c r="AK69" s="2"/>
      <c r="AL69" s="2"/>
      <c r="AM69" s="2"/>
    </row>
    <row r="70" spans="1:39" ht="12.75">
      <c r="A70" s="7">
        <f ca="1">IFERROR(__xludf.DUMMYFUNCTION("""COMPUTED_VALUE"""),186)</f>
        <v>186</v>
      </c>
      <c r="B70" s="2"/>
      <c r="C70" s="4"/>
      <c r="D70" s="2"/>
      <c r="E70" s="2"/>
      <c r="F70" s="6" t="str">
        <f ca="1">IFERROR(__xludf.DUMMYFUNCTION("""COMPUTED_VALUE"""),"B0F5PLTJ5T")</f>
        <v>B0F5PLTJ5T</v>
      </c>
      <c r="G70" s="2" t="str">
        <f ca="1">IFERROR(__xludf.DUMMYFUNCTION("""COMPUTED_VALUE"""),"D186_C_232")</f>
        <v>D186_C_232</v>
      </c>
      <c r="H70" s="2"/>
      <c r="I70" s="2" t="s">
        <v>46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>
        <f ca="1">IFERROR(__xludf.DUMMYFUNCTION("""COMPUTED_VALUE"""),0.12)</f>
        <v>0.12</v>
      </c>
      <c r="Y70" s="2"/>
      <c r="Z70" s="2">
        <f ca="1">IFERROR(__xludf.DUMMYFUNCTION("""COMPUTED_VALUE"""),26.6)</f>
        <v>26.6</v>
      </c>
      <c r="AA70" s="2">
        <f ca="1">IFERROR(__xludf.DUMMYFUNCTION("""COMPUTED_VALUE"""),12.2)</f>
        <v>12.2</v>
      </c>
      <c r="AB70" s="2">
        <f ca="1">IFERROR(__xludf.DUMMYFUNCTION("""COMPUTED_VALUE"""),8.2)</f>
        <v>8.1999999999999993</v>
      </c>
      <c r="AC70" s="2">
        <f ca="1">IFERROR(__xludf.DUMMYFUNCTION("""COMPUTED_VALUE"""),47)</f>
        <v>47</v>
      </c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2.75">
      <c r="A71" s="7">
        <f ca="1">IFERROR(__xludf.DUMMYFUNCTION("""COMPUTED_VALUE"""),205)</f>
        <v>205</v>
      </c>
      <c r="B71" s="2"/>
      <c r="C71" s="4"/>
      <c r="D71" s="2"/>
      <c r="E71" s="2"/>
      <c r="F71" s="6" t="str">
        <f ca="1">IFERROR(__xludf.DUMMYFUNCTION("""COMPUTED_VALUE"""),"B0F6MRX8HN")</f>
        <v>B0F6MRX8HN</v>
      </c>
      <c r="G71" s="2" t="str">
        <f ca="1">IFERROR(__xludf.DUMMYFUNCTION("""COMPUTED_VALUE"""),"D205_57")</f>
        <v>D205_57</v>
      </c>
      <c r="H71" s="2"/>
      <c r="I71" s="2" t="s">
        <v>47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>
        <f ca="1">IFERROR(__xludf.DUMMYFUNCTION("""COMPUTED_VALUE"""),11)</f>
        <v>11</v>
      </c>
      <c r="AA71" s="2">
        <f ca="1">IFERROR(__xludf.DUMMYFUNCTION("""COMPUTED_VALUE"""),11)</f>
        <v>11</v>
      </c>
      <c r="AB71" s="2">
        <f ca="1">IFERROR(__xludf.DUMMYFUNCTION("""COMPUTED_VALUE"""),2.8)</f>
        <v>2.8</v>
      </c>
      <c r="AC71" s="2">
        <f ca="1">IFERROR(__xludf.DUMMYFUNCTION("""COMPUTED_VALUE"""),24.8)</f>
        <v>24.8</v>
      </c>
      <c r="AD71" s="2"/>
      <c r="AE71" s="2"/>
      <c r="AF71" s="10"/>
      <c r="AG71" s="2"/>
      <c r="AH71" s="2"/>
      <c r="AI71" s="10"/>
      <c r="AJ71" s="10"/>
      <c r="AK71" s="2"/>
      <c r="AL71" s="2"/>
      <c r="AM71" s="2"/>
    </row>
    <row r="72" spans="1:39" ht="12.75">
      <c r="A72" s="7">
        <f ca="1">IFERROR(__xludf.DUMMYFUNCTION("""COMPUTED_VALUE"""),209)</f>
        <v>209</v>
      </c>
      <c r="B72" s="2"/>
      <c r="C72" s="4"/>
      <c r="D72" s="2"/>
      <c r="E72" s="6"/>
      <c r="F72" s="6" t="str">
        <f ca="1">IFERROR(__xludf.DUMMYFUNCTION("""COMPUTED_VALUE"""),"B0F7PCWW67")</f>
        <v>B0F7PCWW67</v>
      </c>
      <c r="G72" s="2" t="str">
        <f ca="1">IFERROR(__xludf.DUMMYFUNCTION("""COMPUTED_VALUE"""),"D209_123")</f>
        <v>D209_123</v>
      </c>
      <c r="H72" s="2"/>
      <c r="I72" s="2" t="s">
        <v>48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>
        <f ca="1">IFERROR(__xludf.DUMMYFUNCTION("""COMPUTED_VALUE"""),0.26)</f>
        <v>0.26</v>
      </c>
      <c r="Y72" s="2"/>
      <c r="Z72" s="2">
        <f ca="1">IFERROR(__xludf.DUMMYFUNCTION("""COMPUTED_VALUE"""),24.6)</f>
        <v>24.6</v>
      </c>
      <c r="AA72" s="2">
        <f ca="1">IFERROR(__xludf.DUMMYFUNCTION("""COMPUTED_VALUE"""),17.4)</f>
        <v>17.399999999999999</v>
      </c>
      <c r="AB72" s="2">
        <f ca="1">IFERROR(__xludf.DUMMYFUNCTION("""COMPUTED_VALUE"""),11.5)</f>
        <v>11.5</v>
      </c>
      <c r="AC72" s="2">
        <f ca="1">IFERROR(__xludf.DUMMYFUNCTION("""COMPUTED_VALUE"""),53.5)</f>
        <v>53.5</v>
      </c>
      <c r="AD72" s="2"/>
      <c r="AE72" s="2"/>
      <c r="AF72" s="10"/>
      <c r="AG72" s="2"/>
      <c r="AH72" s="2"/>
      <c r="AI72" s="10"/>
      <c r="AJ72" s="10"/>
      <c r="AK72" s="2"/>
      <c r="AL72" s="2"/>
      <c r="AM72" s="2"/>
    </row>
    <row r="73" spans="1:39" ht="12.75">
      <c r="A73" s="7">
        <f ca="1">IFERROR(__xludf.DUMMYFUNCTION("""COMPUTED_VALUE"""),256)</f>
        <v>256</v>
      </c>
      <c r="B73" s="2"/>
      <c r="C73" s="4"/>
      <c r="D73" s="2"/>
      <c r="E73" s="6"/>
      <c r="F73" s="6" t="str">
        <f ca="1">IFERROR(__xludf.DUMMYFUNCTION("""COMPUTED_VALUE"""),"B0F9DF297N")</f>
        <v>B0F9DF297N</v>
      </c>
      <c r="G73" s="2" t="str">
        <f ca="1">IFERROR(__xludf.DUMMYFUNCTION("""COMPUTED_VALUE"""),"D256_C_1290")</f>
        <v>D256_C_1290</v>
      </c>
      <c r="H73" s="2"/>
      <c r="I73" s="2" t="s">
        <v>49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>
        <f ca="1">IFERROR(__xludf.DUMMYFUNCTION("""COMPUTED_VALUE"""),0.3)</f>
        <v>0.3</v>
      </c>
      <c r="Y73" s="2"/>
      <c r="Z73" s="2">
        <f ca="1">IFERROR(__xludf.DUMMYFUNCTION("""COMPUTED_VALUE"""),29.9)</f>
        <v>29.9</v>
      </c>
      <c r="AA73" s="2">
        <f ca="1">IFERROR(__xludf.DUMMYFUNCTION("""COMPUTED_VALUE"""),22.6)</f>
        <v>22.6</v>
      </c>
      <c r="AB73" s="2">
        <f ca="1">IFERROR(__xludf.DUMMYFUNCTION("""COMPUTED_VALUE"""),3.3)</f>
        <v>3.3</v>
      </c>
      <c r="AC73" s="2">
        <f ca="1">IFERROR(__xludf.DUMMYFUNCTION("""COMPUTED_VALUE"""),55.8)</f>
        <v>55.8</v>
      </c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:39" ht="12.75">
      <c r="A74" s="7">
        <f ca="1">IFERROR(__xludf.DUMMYFUNCTION("""COMPUTED_VALUE"""),280)</f>
        <v>280</v>
      </c>
      <c r="B74" s="2"/>
      <c r="C74" s="4"/>
      <c r="D74" s="2"/>
      <c r="E74" s="6"/>
      <c r="F74" s="6" t="str">
        <f ca="1">IFERROR(__xludf.DUMMYFUNCTION("""COMPUTED_VALUE"""),"B0FC26G574")</f>
        <v>B0FC26G574</v>
      </c>
      <c r="G74" s="2" t="str">
        <f ca="1">IFERROR(__xludf.DUMMYFUNCTION("""COMPUTED_VALUE"""),"D280_143")</f>
        <v>D280_143</v>
      </c>
      <c r="H74" s="2"/>
      <c r="I74" s="2" t="s">
        <v>50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>
        <f ca="1">IFERROR(__xludf.DUMMYFUNCTION("""COMPUTED_VALUE"""),0.41)</f>
        <v>0.41</v>
      </c>
      <c r="Y74" s="2"/>
      <c r="Z74" s="2">
        <f ca="1">IFERROR(__xludf.DUMMYFUNCTION("""COMPUTED_VALUE"""),27.2)</f>
        <v>27.2</v>
      </c>
      <c r="AA74" s="2">
        <f ca="1">IFERROR(__xludf.DUMMYFUNCTION("""COMPUTED_VALUE"""),20.7)</f>
        <v>20.7</v>
      </c>
      <c r="AB74" s="2">
        <f ca="1">IFERROR(__xludf.DUMMYFUNCTION("""COMPUTED_VALUE"""),4.8)</f>
        <v>4.8</v>
      </c>
      <c r="AC74" s="2">
        <f ca="1">IFERROR(__xludf.DUMMYFUNCTION("""COMPUTED_VALUE"""),52.6999999999999)</f>
        <v>52.699999999999903</v>
      </c>
      <c r="AD74" s="2"/>
      <c r="AE74" s="2"/>
      <c r="AF74" s="10"/>
      <c r="AG74" s="10"/>
      <c r="AH74" s="2"/>
      <c r="AI74" s="10"/>
      <c r="AJ74" s="10"/>
      <c r="AK74" s="2"/>
      <c r="AL74" s="2"/>
      <c r="AM74" s="2"/>
    </row>
    <row r="75" spans="1:39" ht="12.75">
      <c r="A75" s="7">
        <f ca="1">IFERROR(__xludf.DUMMYFUNCTION("""COMPUTED_VALUE"""),286)</f>
        <v>286</v>
      </c>
      <c r="B75" s="2"/>
      <c r="C75" s="4"/>
      <c r="D75" s="2"/>
      <c r="E75" s="6"/>
      <c r="F75" s="6" t="str">
        <f ca="1">IFERROR(__xludf.DUMMYFUNCTION("""COMPUTED_VALUE"""),"B0FC27RZR5")</f>
        <v>B0FC27RZR5</v>
      </c>
      <c r="G75" s="2" t="str">
        <f ca="1">IFERROR(__xludf.DUMMYFUNCTION("""COMPUTED_VALUE"""),"D286_143")</f>
        <v>D286_143</v>
      </c>
      <c r="H75" s="2"/>
      <c r="I75" s="2" t="s">
        <v>51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>
        <f ca="1">IFERROR(__xludf.DUMMYFUNCTION("""COMPUTED_VALUE"""),1.08)</f>
        <v>1.08</v>
      </c>
      <c r="Y75" s="2"/>
      <c r="Z75" s="2">
        <f ca="1">IFERROR(__xludf.DUMMYFUNCTION("""COMPUTED_VALUE"""),26.4)</f>
        <v>26.4</v>
      </c>
      <c r="AA75" s="2">
        <f ca="1">IFERROR(__xludf.DUMMYFUNCTION("""COMPUTED_VALUE"""),20.1)</f>
        <v>20.100000000000001</v>
      </c>
      <c r="AB75" s="2">
        <f ca="1">IFERROR(__xludf.DUMMYFUNCTION("""COMPUTED_VALUE"""),4.3)</f>
        <v>4.3</v>
      </c>
      <c r="AC75" s="2">
        <f ca="1">IFERROR(__xludf.DUMMYFUNCTION("""COMPUTED_VALUE"""),50.8)</f>
        <v>50.8</v>
      </c>
      <c r="AD75" s="2"/>
      <c r="AE75" s="2"/>
      <c r="AF75" s="10"/>
      <c r="AG75" s="10"/>
      <c r="AH75" s="2"/>
      <c r="AI75" s="10"/>
      <c r="AJ75" s="10"/>
      <c r="AK75" s="2"/>
      <c r="AL75" s="2"/>
      <c r="AM75" s="2"/>
    </row>
    <row r="76" spans="1:39" ht="12.75">
      <c r="A76" s="7">
        <f ca="1">IFERROR(__xludf.DUMMYFUNCTION("""COMPUTED_VALUE"""),308)</f>
        <v>308</v>
      </c>
      <c r="B76" s="2"/>
      <c r="C76" s="4"/>
      <c r="D76" s="2"/>
      <c r="E76" s="6"/>
      <c r="F76" s="6" t="str">
        <f ca="1">IFERROR(__xludf.DUMMYFUNCTION("""COMPUTED_VALUE"""),"B0FB3M82TW")</f>
        <v>B0FB3M82TW</v>
      </c>
      <c r="G76" s="2" t="str">
        <f ca="1">IFERROR(__xludf.DUMMYFUNCTION("""COMPUTED_VALUE"""),"D308_C_435")</f>
        <v>D308_C_435</v>
      </c>
      <c r="H76" s="2"/>
      <c r="I76" s="2" t="s">
        <v>52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>
        <f ca="1">IFERROR(__xludf.DUMMYFUNCTION("""COMPUTED_VALUE"""),0.3)</f>
        <v>0.3</v>
      </c>
      <c r="Y76" s="2"/>
      <c r="Z76" s="2">
        <f ca="1">IFERROR(__xludf.DUMMYFUNCTION("""COMPUTED_VALUE"""),13.3)</f>
        <v>13.3</v>
      </c>
      <c r="AA76" s="2">
        <f ca="1">IFERROR(__xludf.DUMMYFUNCTION("""COMPUTED_VALUE"""),5.7)</f>
        <v>5.7</v>
      </c>
      <c r="AB76" s="2">
        <f ca="1">IFERROR(__xludf.DUMMYFUNCTION("""COMPUTED_VALUE"""),5.6)</f>
        <v>5.6</v>
      </c>
      <c r="AC76" s="2">
        <f ca="1">IFERROR(__xludf.DUMMYFUNCTION("""COMPUTED_VALUE"""),24.6)</f>
        <v>24.6</v>
      </c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ht="12.75">
      <c r="A77" s="7">
        <f ca="1">IFERROR(__xludf.DUMMYFUNCTION("""COMPUTED_VALUE"""),315)</f>
        <v>315</v>
      </c>
      <c r="B77" s="2"/>
      <c r="C77" s="4"/>
      <c r="D77" s="2"/>
      <c r="E77" s="2"/>
      <c r="F77" s="6" t="str">
        <f ca="1">IFERROR(__xludf.DUMMYFUNCTION("""COMPUTED_VALUE"""),"B0FBLNCMXM")</f>
        <v>B0FBLNCMXM</v>
      </c>
      <c r="G77" s="2" t="str">
        <f ca="1">IFERROR(__xludf.DUMMYFUNCTION("""COMPUTED_VALUE"""),"D315_C_1405")</f>
        <v>D315_C_1405</v>
      </c>
      <c r="H77" s="2"/>
      <c r="I77" s="2" t="s">
        <v>53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>
        <f ca="1">IFERROR(__xludf.DUMMYFUNCTION("""COMPUTED_VALUE"""),0.27)</f>
        <v>0.27</v>
      </c>
      <c r="Y77" s="2"/>
      <c r="Z77" s="2">
        <f ca="1">IFERROR(__xludf.DUMMYFUNCTION("""COMPUTED_VALUE"""),17)</f>
        <v>17</v>
      </c>
      <c r="AA77" s="2">
        <f ca="1">IFERROR(__xludf.DUMMYFUNCTION("""COMPUTED_VALUE"""),7.3)</f>
        <v>7.3</v>
      </c>
      <c r="AB77" s="2">
        <f ca="1">IFERROR(__xludf.DUMMYFUNCTION("""COMPUTED_VALUE"""),4.2)</f>
        <v>4.2</v>
      </c>
      <c r="AC77" s="2">
        <f ca="1">IFERROR(__xludf.DUMMYFUNCTION("""COMPUTED_VALUE"""),28.5)</f>
        <v>28.5</v>
      </c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ht="12.75">
      <c r="A78" s="7">
        <f ca="1">IFERROR(__xludf.DUMMYFUNCTION("""COMPUTED_VALUE"""),316)</f>
        <v>316</v>
      </c>
      <c r="B78" s="2"/>
      <c r="C78" s="4"/>
      <c r="D78" s="2"/>
      <c r="E78" s="2"/>
      <c r="F78" s="6" t="str">
        <f ca="1">IFERROR(__xludf.DUMMYFUNCTION("""COMPUTED_VALUE"""),"B0FBQTPG2X")</f>
        <v>B0FBQTPG2X</v>
      </c>
      <c r="G78" s="2" t="str">
        <f ca="1">IFERROR(__xludf.DUMMYFUNCTION("""COMPUTED_VALUE"""),"D316_C_1405")</f>
        <v>D316_C_1405</v>
      </c>
      <c r="H78" s="2"/>
      <c r="I78" s="2" t="s">
        <v>54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>
        <f ca="1">IFERROR(__xludf.DUMMYFUNCTION("""COMPUTED_VALUE"""),17)</f>
        <v>17</v>
      </c>
      <c r="AA78" s="2">
        <f ca="1">IFERROR(__xludf.DUMMYFUNCTION("""COMPUTED_VALUE"""),7.3)</f>
        <v>7.3</v>
      </c>
      <c r="AB78" s="2">
        <f ca="1">IFERROR(__xludf.DUMMYFUNCTION("""COMPUTED_VALUE"""),4.2)</f>
        <v>4.2</v>
      </c>
      <c r="AC78" s="2">
        <f ca="1">IFERROR(__xludf.DUMMYFUNCTION("""COMPUTED_VALUE"""),28.5)</f>
        <v>28.5</v>
      </c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ht="12.75">
      <c r="A79" s="7">
        <f ca="1">IFERROR(__xludf.DUMMYFUNCTION("""COMPUTED_VALUE"""),344)</f>
        <v>344</v>
      </c>
      <c r="B79" s="2"/>
      <c r="C79" s="4"/>
      <c r="D79" s="2"/>
      <c r="E79" s="6"/>
      <c r="F79" s="6" t="str">
        <f ca="1">IFERROR(__xludf.DUMMYFUNCTION("""COMPUTED_VALUE"""),"B0FFS9PL3B")</f>
        <v>B0FFS9PL3B</v>
      </c>
      <c r="G79" s="2" t="str">
        <f ca="1">IFERROR(__xludf.DUMMYFUNCTION("""COMPUTED_VALUE"""),"D344_169")</f>
        <v>D344_169</v>
      </c>
      <c r="H79" s="2"/>
      <c r="I79" s="2" t="s">
        <v>55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>
        <f ca="1">IFERROR(__xludf.DUMMYFUNCTION("""COMPUTED_VALUE"""),31.8)</f>
        <v>31.8</v>
      </c>
      <c r="AA79" s="2">
        <f ca="1">IFERROR(__xludf.DUMMYFUNCTION("""COMPUTED_VALUE"""),29.6)</f>
        <v>29.6</v>
      </c>
      <c r="AB79" s="2">
        <f ca="1">IFERROR(__xludf.DUMMYFUNCTION("""COMPUTED_VALUE"""),8.5)</f>
        <v>8.5</v>
      </c>
      <c r="AC79" s="2">
        <f ca="1">IFERROR(__xludf.DUMMYFUNCTION("""COMPUTED_VALUE"""),69.9)</f>
        <v>69.900000000000006</v>
      </c>
      <c r="AD79" s="2"/>
      <c r="AE79" s="2"/>
      <c r="AF79" s="10"/>
      <c r="AG79" s="10"/>
      <c r="AH79" s="2"/>
      <c r="AI79" s="10"/>
      <c r="AJ79" s="10"/>
      <c r="AK79" s="2"/>
      <c r="AL79" s="2"/>
      <c r="AM79" s="2"/>
    </row>
    <row r="80" spans="1:39" ht="12.75">
      <c r="A80" s="7">
        <f ca="1">IFERROR(__xludf.DUMMYFUNCTION("""COMPUTED_VALUE"""),355)</f>
        <v>355</v>
      </c>
      <c r="B80" s="2"/>
      <c r="C80" s="4"/>
      <c r="D80" s="2"/>
      <c r="E80" s="6"/>
      <c r="F80" s="6" t="str">
        <f ca="1">IFERROR(__xludf.DUMMYFUNCTION("""COMPUTED_VALUE"""),"B0FKM3XGYQ")</f>
        <v>B0FKM3XGYQ</v>
      </c>
      <c r="G80" s="2" t="str">
        <f ca="1">IFERROR(__xludf.DUMMYFUNCTION("""COMPUTED_VALUE"""),"D355_191")</f>
        <v>D355_191</v>
      </c>
      <c r="H80" s="2"/>
      <c r="I80" s="2" t="s">
        <v>56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>
        <f ca="1">IFERROR(__xludf.DUMMYFUNCTION("""COMPUTED_VALUE"""),17.9)</f>
        <v>17.899999999999999</v>
      </c>
      <c r="AA80" s="2">
        <f ca="1">IFERROR(__xludf.DUMMYFUNCTION("""COMPUTED_VALUE"""),9.4)</f>
        <v>9.4</v>
      </c>
      <c r="AB80" s="2">
        <f ca="1">IFERROR(__xludf.DUMMYFUNCTION("""COMPUTED_VALUE"""),9)</f>
        <v>9</v>
      </c>
      <c r="AC80" s="2">
        <f ca="1">IFERROR(__xludf.DUMMYFUNCTION("""COMPUTED_VALUE"""),36.3)</f>
        <v>36.299999999999997</v>
      </c>
      <c r="AD80" s="2"/>
      <c r="AE80" s="2"/>
      <c r="AF80" s="2"/>
      <c r="AG80" s="2"/>
      <c r="AH80" s="2"/>
      <c r="AI80" s="10"/>
      <c r="AJ80" s="10"/>
      <c r="AK80" s="2"/>
      <c r="AL80" s="2"/>
      <c r="AM80" s="2"/>
    </row>
    <row r="81" spans="1:39" ht="12.75">
      <c r="A81" s="7">
        <f ca="1">IFERROR(__xludf.DUMMYFUNCTION("""COMPUTED_VALUE"""),394)</f>
        <v>394</v>
      </c>
      <c r="B81" s="2"/>
      <c r="C81" s="4"/>
      <c r="D81" s="2"/>
      <c r="E81" s="6"/>
      <c r="F81" s="6" t="str">
        <f ca="1">IFERROR(__xludf.DUMMYFUNCTION("""COMPUTED_VALUE"""),"B0FGCV33LR")</f>
        <v>B0FGCV33LR</v>
      </c>
      <c r="G81" s="2" t="str">
        <f ca="1">IFERROR(__xludf.DUMMYFUNCTION("""COMPUTED_VALUE"""),"D394_C_1251")</f>
        <v>D394_C_1251</v>
      </c>
      <c r="H81" s="2"/>
      <c r="I81" s="2" t="s">
        <v>57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>
        <f ca="1">IFERROR(__xludf.DUMMYFUNCTION("""COMPUTED_VALUE"""),20)</f>
        <v>20</v>
      </c>
      <c r="AA81" s="2">
        <f ca="1">IFERROR(__xludf.DUMMYFUNCTION("""COMPUTED_VALUE"""),19)</f>
        <v>19</v>
      </c>
      <c r="AB81" s="2">
        <f ca="1">IFERROR(__xludf.DUMMYFUNCTION("""COMPUTED_VALUE"""),18)</f>
        <v>18</v>
      </c>
      <c r="AC81" s="2">
        <f ca="1">IFERROR(__xludf.DUMMYFUNCTION("""COMPUTED_VALUE"""),57)</f>
        <v>57</v>
      </c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ht="12.75">
      <c r="A82" s="7">
        <f ca="1">IFERROR(__xludf.DUMMYFUNCTION("""COMPUTED_VALUE"""),397)</f>
        <v>397</v>
      </c>
      <c r="B82" s="2"/>
      <c r="C82" s="4"/>
      <c r="D82" s="2"/>
      <c r="E82" s="6"/>
      <c r="F82" s="6" t="str">
        <f ca="1">IFERROR(__xludf.DUMMYFUNCTION("""COMPUTED_VALUE"""),"B0FGCHHDQS")</f>
        <v>B0FGCHHDQS</v>
      </c>
      <c r="G82" s="2" t="str">
        <f ca="1">IFERROR(__xludf.DUMMYFUNCTION("""COMPUTED_VALUE"""),"D397_C_1251")</f>
        <v>D397_C_1251</v>
      </c>
      <c r="H82" s="2"/>
      <c r="I82" s="2" t="s">
        <v>58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>
        <f ca="1">IFERROR(__xludf.DUMMYFUNCTION("""COMPUTED_VALUE"""),0.057)</f>
        <v>5.7000000000000002E-2</v>
      </c>
      <c r="Y82" s="2"/>
      <c r="Z82" s="2">
        <f ca="1">IFERROR(__xludf.DUMMYFUNCTION("""COMPUTED_VALUE"""),40)</f>
        <v>40</v>
      </c>
      <c r="AA82" s="2">
        <f ca="1">IFERROR(__xludf.DUMMYFUNCTION("""COMPUTED_VALUE"""),19)</f>
        <v>19</v>
      </c>
      <c r="AB82" s="2">
        <f ca="1">IFERROR(__xludf.DUMMYFUNCTION("""COMPUTED_VALUE"""),18)</f>
        <v>18</v>
      </c>
      <c r="AC82" s="2">
        <f ca="1">IFERROR(__xludf.DUMMYFUNCTION("""COMPUTED_VALUE"""),77)</f>
        <v>77</v>
      </c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12.75">
      <c r="A83" s="7">
        <f ca="1">IFERROR(__xludf.DUMMYFUNCTION("""COMPUTED_VALUE"""),451)</f>
        <v>451</v>
      </c>
      <c r="B83" s="2"/>
      <c r="C83" s="4"/>
      <c r="D83" s="2"/>
      <c r="E83" s="6"/>
      <c r="F83" s="6" t="str">
        <f ca="1">IFERROR(__xludf.DUMMYFUNCTION("""COMPUTED_VALUE"""),"B0FG2FDP5Y")</f>
        <v>B0FG2FDP5Y</v>
      </c>
      <c r="G83" s="2" t="str">
        <f ca="1">IFERROR(__xludf.DUMMYFUNCTION("""COMPUTED_VALUE"""),"D451_C_1300")</f>
        <v>D451_C_1300</v>
      </c>
      <c r="H83" s="2"/>
      <c r="I83" s="2" t="s">
        <v>59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f ca="1">IFERROR(__xludf.DUMMYFUNCTION("""COMPUTED_VALUE"""),28.1)</f>
        <v>28.1</v>
      </c>
      <c r="AA83" s="2">
        <f ca="1">IFERROR(__xludf.DUMMYFUNCTION("""COMPUTED_VALUE"""),15.1)</f>
        <v>15.1</v>
      </c>
      <c r="AB83" s="2">
        <f ca="1">IFERROR(__xludf.DUMMYFUNCTION("""COMPUTED_VALUE"""),5.6)</f>
        <v>5.6</v>
      </c>
      <c r="AC83" s="2">
        <f ca="1">IFERROR(__xludf.DUMMYFUNCTION("""COMPUTED_VALUE"""),48.8)</f>
        <v>48.8</v>
      </c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ht="12.75">
      <c r="A84" s="7">
        <f ca="1">IFERROR(__xludf.DUMMYFUNCTION("""COMPUTED_VALUE"""),460)</f>
        <v>460</v>
      </c>
      <c r="B84" s="2"/>
      <c r="C84" s="4"/>
      <c r="D84" s="2"/>
      <c r="E84" s="2"/>
      <c r="F84" s="6" t="str">
        <f ca="1">IFERROR(__xludf.DUMMYFUNCTION("""COMPUTED_VALUE"""),"B0FH3CDGB8")</f>
        <v>B0FH3CDGB8</v>
      </c>
      <c r="G84" s="2" t="str">
        <f ca="1">IFERROR(__xludf.DUMMYFUNCTION("""COMPUTED_VALUE"""),"D460_C_1184")</f>
        <v>D460_C_1184</v>
      </c>
      <c r="H84" s="2"/>
      <c r="I84" s="2" t="s">
        <v>60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>
        <f ca="1">IFERROR(__xludf.DUMMYFUNCTION("""COMPUTED_VALUE"""),12.2)</f>
        <v>12.2</v>
      </c>
      <c r="AA84" s="2">
        <f ca="1">IFERROR(__xludf.DUMMYFUNCTION("""COMPUTED_VALUE"""),9)</f>
        <v>9</v>
      </c>
      <c r="AB84" s="2">
        <f ca="1">IFERROR(__xludf.DUMMYFUNCTION("""COMPUTED_VALUE"""),4.8)</f>
        <v>4.8</v>
      </c>
      <c r="AC84" s="2">
        <f ca="1">IFERROR(__xludf.DUMMYFUNCTION("""COMPUTED_VALUE"""),26)</f>
        <v>26</v>
      </c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ht="12.75">
      <c r="A85" s="7">
        <f ca="1">IFERROR(__xludf.DUMMYFUNCTION("""COMPUTED_VALUE"""),489)</f>
        <v>489</v>
      </c>
      <c r="B85" s="2"/>
      <c r="C85" s="4"/>
      <c r="D85" s="2"/>
      <c r="E85" s="2"/>
      <c r="F85" s="6" t="str">
        <f ca="1">IFERROR(__xludf.DUMMYFUNCTION("""COMPUTED_VALUE"""),"B0FJRRDQGF")</f>
        <v>B0FJRRDQGF</v>
      </c>
      <c r="G85" s="2" t="str">
        <f ca="1">IFERROR(__xludf.DUMMYFUNCTION("""COMPUTED_VALUE"""),"D489_125")</f>
        <v>D489_125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>
        <f ca="1">IFERROR(__xludf.DUMMYFUNCTION("""COMPUTED_VALUE"""),14)</f>
        <v>14</v>
      </c>
      <c r="AA85" s="2">
        <f ca="1">IFERROR(__xludf.DUMMYFUNCTION("""COMPUTED_VALUE"""),10.1)</f>
        <v>10.1</v>
      </c>
      <c r="AB85" s="2">
        <f ca="1">IFERROR(__xludf.DUMMYFUNCTION("""COMPUTED_VALUE"""),9.1)</f>
        <v>9.1</v>
      </c>
      <c r="AC85" s="2">
        <f ca="1">IFERROR(__xludf.DUMMYFUNCTION("""COMPUTED_VALUE"""),33.2)</f>
        <v>33.200000000000003</v>
      </c>
      <c r="AD85" s="2"/>
      <c r="AE85" s="2"/>
      <c r="AF85" s="10"/>
      <c r="AG85" s="10"/>
      <c r="AH85" s="2"/>
      <c r="AI85" s="2"/>
      <c r="AJ85" s="10"/>
      <c r="AK85" s="2"/>
      <c r="AL85" s="2"/>
      <c r="AM85" s="2"/>
    </row>
    <row r="86" spans="1:39" ht="12.75">
      <c r="A86" s="7">
        <f ca="1">IFERROR(__xludf.DUMMYFUNCTION("""COMPUTED_VALUE"""),490)</f>
        <v>490</v>
      </c>
      <c r="B86" s="2"/>
      <c r="C86" s="4"/>
      <c r="D86" s="2"/>
      <c r="E86" s="2"/>
      <c r="F86" s="6" t="str">
        <f ca="1">IFERROR(__xludf.DUMMYFUNCTION("""COMPUTED_VALUE"""),"B0FJRPPJTY")</f>
        <v>B0FJRPPJTY</v>
      </c>
      <c r="G86" s="2" t="str">
        <f ca="1">IFERROR(__xludf.DUMMYFUNCTION("""COMPUTED_VALUE"""),"D490_125")</f>
        <v>D490_125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>
        <f ca="1">IFERROR(__xludf.DUMMYFUNCTION("""COMPUTED_VALUE"""),14)</f>
        <v>14</v>
      </c>
      <c r="AA86" s="2">
        <f ca="1">IFERROR(__xludf.DUMMYFUNCTION("""COMPUTED_VALUE"""),10.1)</f>
        <v>10.1</v>
      </c>
      <c r="AB86" s="2">
        <f ca="1">IFERROR(__xludf.DUMMYFUNCTION("""COMPUTED_VALUE"""),9.1)</f>
        <v>9.1</v>
      </c>
      <c r="AC86" s="2">
        <f ca="1">IFERROR(__xludf.DUMMYFUNCTION("""COMPUTED_VALUE"""),33.2)</f>
        <v>33.200000000000003</v>
      </c>
      <c r="AD86" s="2"/>
      <c r="AE86" s="2"/>
      <c r="AF86" s="10"/>
      <c r="AG86" s="10"/>
      <c r="AH86" s="2"/>
      <c r="AI86" s="2"/>
      <c r="AJ86" s="10"/>
      <c r="AK86" s="2"/>
      <c r="AL86" s="2"/>
      <c r="AM86" s="2"/>
    </row>
    <row r="87" spans="1:39" ht="12.75">
      <c r="A87" s="7">
        <f ca="1">IFERROR(__xludf.DUMMYFUNCTION("""COMPUTED_VALUE"""),563)</f>
        <v>563</v>
      </c>
      <c r="B87" s="2"/>
      <c r="C87" s="4"/>
      <c r="D87" s="2"/>
      <c r="E87" s="6"/>
      <c r="F87" s="6" t="str">
        <f ca="1">IFERROR(__xludf.DUMMYFUNCTION("""COMPUTED_VALUE"""),"B0FPPZWJY6")</f>
        <v>B0FPPZWJY6</v>
      </c>
      <c r="G87" s="2" t="str">
        <f ca="1">IFERROR(__xludf.DUMMYFUNCTION("""COMPUTED_VALUE"""),"D563_242")</f>
        <v>D563_242</v>
      </c>
      <c r="H87" s="2"/>
      <c r="I87" s="2" t="s">
        <v>61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>
        <f ca="1">IFERROR(__xludf.DUMMYFUNCTION("""COMPUTED_VALUE"""),14.5)</f>
        <v>14.5</v>
      </c>
      <c r="AA87" s="2">
        <f ca="1">IFERROR(__xludf.DUMMYFUNCTION("""COMPUTED_VALUE"""),14.3)</f>
        <v>14.3</v>
      </c>
      <c r="AB87" s="2">
        <f ca="1">IFERROR(__xludf.DUMMYFUNCTION("""COMPUTED_VALUE"""),1.6)</f>
        <v>1.6</v>
      </c>
      <c r="AC87" s="2">
        <f ca="1">IFERROR(__xludf.DUMMYFUNCTION("""COMPUTED_VALUE"""),30.4)</f>
        <v>30.4</v>
      </c>
      <c r="AD87" s="2"/>
      <c r="AE87" s="2"/>
      <c r="AF87" s="2"/>
      <c r="AG87" s="2"/>
      <c r="AH87" s="2"/>
      <c r="AI87" s="10"/>
      <c r="AJ87" s="10"/>
      <c r="AK87" s="2"/>
      <c r="AL87" s="2"/>
      <c r="AM87" s="2"/>
    </row>
    <row r="88" spans="1:39" ht="12.75">
      <c r="A88" s="7">
        <f ca="1">IFERROR(__xludf.DUMMYFUNCTION("""COMPUTED_VALUE"""),575)</f>
        <v>575</v>
      </c>
      <c r="B88" s="2"/>
      <c r="C88" s="4"/>
      <c r="D88" s="2"/>
      <c r="E88" s="6"/>
      <c r="F88" s="6" t="str">
        <f ca="1">IFERROR(__xludf.DUMMYFUNCTION("""COMPUTED_VALUE"""),"B0FPWKH12V")</f>
        <v>B0FPWKH12V</v>
      </c>
      <c r="G88" s="2" t="str">
        <f ca="1">IFERROR(__xludf.DUMMYFUNCTION("""COMPUTED_VALUE"""),"D575_251")</f>
        <v>D575_251</v>
      </c>
      <c r="H88" s="2"/>
      <c r="I88" s="2" t="s">
        <v>62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>
        <f ca="1">IFERROR(__xludf.DUMMYFUNCTION("""COMPUTED_VALUE"""),13.3)</f>
        <v>13.3</v>
      </c>
      <c r="AA88" s="2">
        <f ca="1">IFERROR(__xludf.DUMMYFUNCTION("""COMPUTED_VALUE"""),11.9)</f>
        <v>11.9</v>
      </c>
      <c r="AB88" s="2">
        <f ca="1">IFERROR(__xludf.DUMMYFUNCTION("""COMPUTED_VALUE"""),2.5)</f>
        <v>2.5</v>
      </c>
      <c r="AC88" s="2">
        <f ca="1">IFERROR(__xludf.DUMMYFUNCTION("""COMPUTED_VALUE"""),27.7)</f>
        <v>27.7</v>
      </c>
      <c r="AD88" s="2"/>
      <c r="AE88" s="2"/>
      <c r="AF88" s="10"/>
      <c r="AG88" s="2"/>
      <c r="AH88" s="2"/>
      <c r="AI88" s="10"/>
      <c r="AJ88" s="10"/>
      <c r="AK88" s="2"/>
      <c r="AL88" s="2"/>
      <c r="AM88" s="2"/>
    </row>
    <row r="89" spans="1:39" ht="12.75">
      <c r="A89" s="7">
        <f ca="1">IFERROR(__xludf.DUMMYFUNCTION("""COMPUTED_VALUE"""),576)</f>
        <v>576</v>
      </c>
      <c r="B89" s="2"/>
      <c r="C89" s="4"/>
      <c r="D89" s="2"/>
      <c r="E89" s="6"/>
      <c r="F89" s="6" t="str">
        <f ca="1">IFERROR(__xludf.DUMMYFUNCTION("""COMPUTED_VALUE"""),"B0FPWB7NKY")</f>
        <v>B0FPWB7NKY</v>
      </c>
      <c r="G89" s="2" t="str">
        <f ca="1">IFERROR(__xludf.DUMMYFUNCTION("""COMPUTED_VALUE"""),"D576_251")</f>
        <v>D576_251</v>
      </c>
      <c r="H89" s="2"/>
      <c r="I89" s="2" t="s">
        <v>63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>
        <f ca="1">IFERROR(__xludf.DUMMYFUNCTION("""COMPUTED_VALUE"""),13.3)</f>
        <v>13.3</v>
      </c>
      <c r="AA89" s="2">
        <f ca="1">IFERROR(__xludf.DUMMYFUNCTION("""COMPUTED_VALUE"""),11.9)</f>
        <v>11.9</v>
      </c>
      <c r="AB89" s="2">
        <f ca="1">IFERROR(__xludf.DUMMYFUNCTION("""COMPUTED_VALUE"""),2.5)</f>
        <v>2.5</v>
      </c>
      <c r="AC89" s="2">
        <f ca="1">IFERROR(__xludf.DUMMYFUNCTION("""COMPUTED_VALUE"""),27.7)</f>
        <v>27.7</v>
      </c>
      <c r="AD89" s="2"/>
      <c r="AE89" s="2"/>
      <c r="AF89" s="10"/>
      <c r="AG89" s="2"/>
      <c r="AH89" s="2"/>
      <c r="AI89" s="10"/>
      <c r="AJ89" s="10"/>
      <c r="AK89" s="2"/>
      <c r="AL89" s="2"/>
      <c r="AM89" s="2"/>
    </row>
    <row r="90" spans="1:39" ht="12.75">
      <c r="A90" s="7">
        <f ca="1">IFERROR(__xludf.DUMMYFUNCTION("""COMPUTED_VALUE"""),578)</f>
        <v>578</v>
      </c>
      <c r="B90" s="2"/>
      <c r="C90" s="4"/>
      <c r="D90" s="2"/>
      <c r="E90" s="6"/>
      <c r="F90" s="6" t="str">
        <f ca="1">IFERROR(__xludf.DUMMYFUNCTION("""COMPUTED_VALUE"""),"B0FPWQHKSJ")</f>
        <v>B0FPWQHKSJ</v>
      </c>
      <c r="G90" s="2" t="str">
        <f ca="1">IFERROR(__xludf.DUMMYFUNCTION("""COMPUTED_VALUE"""),"D578_251")</f>
        <v>D578_251</v>
      </c>
      <c r="H90" s="2"/>
      <c r="I90" s="2" t="s">
        <v>64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f ca="1">IFERROR(__xludf.DUMMYFUNCTION("""COMPUTED_VALUE"""),13.3)</f>
        <v>13.3</v>
      </c>
      <c r="AA90" s="2">
        <f ca="1">IFERROR(__xludf.DUMMYFUNCTION("""COMPUTED_VALUE"""),11.9)</f>
        <v>11.9</v>
      </c>
      <c r="AB90" s="2">
        <f ca="1">IFERROR(__xludf.DUMMYFUNCTION("""COMPUTED_VALUE"""),2.5)</f>
        <v>2.5</v>
      </c>
      <c r="AC90" s="2">
        <f ca="1">IFERROR(__xludf.DUMMYFUNCTION("""COMPUTED_VALUE"""),27.7)</f>
        <v>27.7</v>
      </c>
      <c r="AD90" s="2"/>
      <c r="AE90" s="2"/>
      <c r="AF90" s="10"/>
      <c r="AG90" s="2"/>
      <c r="AH90" s="2"/>
      <c r="AI90" s="10"/>
      <c r="AJ90" s="10"/>
      <c r="AK90" s="2"/>
      <c r="AL90" s="2"/>
      <c r="AM90" s="2"/>
    </row>
    <row r="91" spans="1:39" ht="12.75">
      <c r="A91" s="7">
        <f ca="1">IFERROR(__xludf.DUMMYFUNCTION("""COMPUTED_VALUE"""),579)</f>
        <v>579</v>
      </c>
      <c r="B91" s="2"/>
      <c r="C91" s="4"/>
      <c r="D91" s="2"/>
      <c r="E91" s="6"/>
      <c r="F91" s="6" t="str">
        <f ca="1">IFERROR(__xludf.DUMMYFUNCTION("""COMPUTED_VALUE"""),"B0FPQ4QWK8")</f>
        <v>B0FPQ4QWK8</v>
      </c>
      <c r="G91" s="2" t="str">
        <f ca="1">IFERROR(__xludf.DUMMYFUNCTION("""COMPUTED_VALUE"""),"D579_254")</f>
        <v>D579_254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>
        <f ca="1">IFERROR(__xludf.DUMMYFUNCTION("""COMPUTED_VALUE"""),32.9)</f>
        <v>32.9</v>
      </c>
      <c r="AA91" s="2">
        <f ca="1">IFERROR(__xludf.DUMMYFUNCTION("""COMPUTED_VALUE"""),10)</f>
        <v>10</v>
      </c>
      <c r="AB91" s="2">
        <f ca="1">IFERROR(__xludf.DUMMYFUNCTION("""COMPUTED_VALUE"""),3)</f>
        <v>3</v>
      </c>
      <c r="AC91" s="2">
        <f ca="1">IFERROR(__xludf.DUMMYFUNCTION("""COMPUTED_VALUE"""),45.9)</f>
        <v>45.9</v>
      </c>
      <c r="AD91" s="2"/>
      <c r="AE91" s="2"/>
      <c r="AF91" s="2"/>
      <c r="AG91" s="2"/>
      <c r="AH91" s="2"/>
      <c r="AI91" s="10"/>
      <c r="AJ91" s="10"/>
      <c r="AK91" s="2"/>
      <c r="AL91" s="2"/>
      <c r="AM91" s="2"/>
    </row>
    <row r="92" spans="1:39" ht="12.75">
      <c r="A92" s="7">
        <f ca="1">IFERROR(__xludf.DUMMYFUNCTION("""COMPUTED_VALUE"""),597)</f>
        <v>597</v>
      </c>
      <c r="B92" s="2"/>
      <c r="C92" s="4"/>
      <c r="D92" s="2"/>
      <c r="E92" s="2"/>
      <c r="F92" s="6" t="str">
        <f ca="1">IFERROR(__xludf.DUMMYFUNCTION("""COMPUTED_VALUE"""),"B0FQ21G27R")</f>
        <v>B0FQ21G27R</v>
      </c>
      <c r="G92" s="2" t="str">
        <f ca="1">IFERROR(__xludf.DUMMYFUNCTION("""COMPUTED_VALUE"""),"D597_204")</f>
        <v>D597_204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>
        <f ca="1">IFERROR(__xludf.DUMMYFUNCTION("""COMPUTED_VALUE"""),25.4)</f>
        <v>25.4</v>
      </c>
      <c r="AA92" s="2">
        <f ca="1">IFERROR(__xludf.DUMMYFUNCTION("""COMPUTED_VALUE"""),13.4)</f>
        <v>13.4</v>
      </c>
      <c r="AB92" s="2">
        <f ca="1">IFERROR(__xludf.DUMMYFUNCTION("""COMPUTED_VALUE"""),3.7)</f>
        <v>3.7</v>
      </c>
      <c r="AC92" s="2">
        <f ca="1">IFERROR(__xludf.DUMMYFUNCTION("""COMPUTED_VALUE"""),42.5)</f>
        <v>42.5</v>
      </c>
      <c r="AD92" s="2"/>
      <c r="AE92" s="2"/>
      <c r="AF92" s="10"/>
      <c r="AG92" s="2"/>
      <c r="AH92" s="2"/>
      <c r="AI92" s="10"/>
      <c r="AJ92" s="10"/>
      <c r="AK92" s="2"/>
      <c r="AL92" s="2"/>
      <c r="AM92" s="2"/>
    </row>
    <row r="93" spans="1:39" ht="12.75">
      <c r="A93" s="7">
        <f ca="1">IFERROR(__xludf.DUMMYFUNCTION("""COMPUTED_VALUE"""),616)</f>
        <v>616</v>
      </c>
      <c r="B93" s="2"/>
      <c r="C93" s="4"/>
      <c r="D93" s="2"/>
      <c r="E93" s="6"/>
      <c r="F93" s="6" t="str">
        <f ca="1">IFERROR(__xludf.DUMMYFUNCTION("""COMPUTED_VALUE"""),"B0FS6J4VGL")</f>
        <v>B0FS6J4VGL</v>
      </c>
      <c r="G93" s="2" t="str">
        <f ca="1">IFERROR(__xludf.DUMMYFUNCTION("""COMPUTED_VALUE"""),"D616_C_534")</f>
        <v>D616_C_534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>
        <f ca="1">IFERROR(__xludf.DUMMYFUNCTION("""COMPUTED_VALUE"""),16.9)</f>
        <v>16.899999999999999</v>
      </c>
      <c r="AA93" s="2">
        <f ca="1">IFERROR(__xludf.DUMMYFUNCTION("""COMPUTED_VALUE"""),11.8)</f>
        <v>11.8</v>
      </c>
      <c r="AB93" s="2">
        <f ca="1">IFERROR(__xludf.DUMMYFUNCTION("""COMPUTED_VALUE"""),10.9)</f>
        <v>10.9</v>
      </c>
      <c r="AC93" s="2">
        <f ca="1">IFERROR(__xludf.DUMMYFUNCTION("""COMPUTED_VALUE"""),39.6)</f>
        <v>39.6</v>
      </c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12.75">
      <c r="A94" s="7">
        <f ca="1">IFERROR(__xludf.DUMMYFUNCTION("""COMPUTED_VALUE"""),617)</f>
        <v>617</v>
      </c>
      <c r="B94" s="2"/>
      <c r="C94" s="4"/>
      <c r="D94" s="2"/>
      <c r="E94" s="6"/>
      <c r="F94" s="6" t="str">
        <f ca="1">IFERROR(__xludf.DUMMYFUNCTION("""COMPUTED_VALUE"""),"B0FS6DS5V9")</f>
        <v>B0FS6DS5V9</v>
      </c>
      <c r="G94" s="2" t="str">
        <f ca="1">IFERROR(__xludf.DUMMYFUNCTION("""COMPUTED_VALUE"""),"D617_C_534")</f>
        <v>D617_C_534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>
        <f ca="1">IFERROR(__xludf.DUMMYFUNCTION("""COMPUTED_VALUE"""),16.9)</f>
        <v>16.899999999999999</v>
      </c>
      <c r="AA94" s="2">
        <f ca="1">IFERROR(__xludf.DUMMYFUNCTION("""COMPUTED_VALUE"""),11.8)</f>
        <v>11.8</v>
      </c>
      <c r="AB94" s="2">
        <f ca="1">IFERROR(__xludf.DUMMYFUNCTION("""COMPUTED_VALUE"""),10.9)</f>
        <v>10.9</v>
      </c>
      <c r="AC94" s="2">
        <f ca="1">IFERROR(__xludf.DUMMYFUNCTION("""COMPUTED_VALUE"""),39.6)</f>
        <v>39.6</v>
      </c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ht="12.75">
      <c r="A95" s="7">
        <f ca="1">IFERROR(__xludf.DUMMYFUNCTION("""COMPUTED_VALUE"""),650)</f>
        <v>650</v>
      </c>
      <c r="B95" s="2"/>
      <c r="C95" s="4"/>
      <c r="D95" s="2"/>
      <c r="E95" s="6"/>
      <c r="F95" s="2" t="str">
        <f ca="1">IFERROR(__xludf.DUMMYFUNCTION("""COMPUTED_VALUE"""),"B0G1LDVHGV")</f>
        <v>B0G1LDVHGV</v>
      </c>
      <c r="G95" s="2" t="str">
        <f ca="1">IFERROR(__xludf.DUMMYFUNCTION("""COMPUTED_VALUE"""),"D650_75")</f>
        <v>D650_75</v>
      </c>
      <c r="H95" s="2"/>
      <c r="I95" s="2" t="s">
        <v>65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f ca="1">IFERROR(__xludf.DUMMYFUNCTION("""COMPUTED_VALUE"""),7)</f>
        <v>7</v>
      </c>
      <c r="AA95" s="2">
        <f ca="1">IFERROR(__xludf.DUMMYFUNCTION("""COMPUTED_VALUE"""),3.8)</f>
        <v>3.8</v>
      </c>
      <c r="AB95" s="2">
        <f ca="1">IFERROR(__xludf.DUMMYFUNCTION("""COMPUTED_VALUE"""),3.8)</f>
        <v>3.8</v>
      </c>
      <c r="AC95" s="2">
        <f ca="1">IFERROR(__xludf.DUMMYFUNCTION("""COMPUTED_VALUE"""),14.6)</f>
        <v>14.6</v>
      </c>
      <c r="AD95" s="2"/>
      <c r="AE95" s="2"/>
      <c r="AF95" s="10"/>
      <c r="AG95" s="2"/>
      <c r="AH95" s="2"/>
      <c r="AI95" s="10"/>
      <c r="AJ95" s="10"/>
      <c r="AK95" s="2"/>
      <c r="AL95" s="2"/>
      <c r="AM95" s="2"/>
    </row>
    <row r="96" spans="1:39" ht="12.75">
      <c r="A96" s="7">
        <f ca="1">IFERROR(__xludf.DUMMYFUNCTION("""COMPUTED_VALUE"""),651)</f>
        <v>651</v>
      </c>
      <c r="B96" s="2"/>
      <c r="C96" s="4"/>
      <c r="D96" s="2"/>
      <c r="E96" s="6"/>
      <c r="F96" s="2" t="str">
        <f ca="1">IFERROR(__xludf.DUMMYFUNCTION("""COMPUTED_VALUE"""),"B0G1LL31KR")</f>
        <v>B0G1LL31KR</v>
      </c>
      <c r="G96" s="2" t="str">
        <f ca="1">IFERROR(__xludf.DUMMYFUNCTION("""COMPUTED_VALUE"""),"D651_75")</f>
        <v>D651_75</v>
      </c>
      <c r="H96" s="2"/>
      <c r="I96" s="2" t="s">
        <v>66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>
        <f ca="1">IFERROR(__xludf.DUMMYFUNCTION("""COMPUTED_VALUE"""),7)</f>
        <v>7</v>
      </c>
      <c r="AA96" s="2">
        <f ca="1">IFERROR(__xludf.DUMMYFUNCTION("""COMPUTED_VALUE"""),3.8)</f>
        <v>3.8</v>
      </c>
      <c r="AB96" s="2">
        <f ca="1">IFERROR(__xludf.DUMMYFUNCTION("""COMPUTED_VALUE"""),3.8)</f>
        <v>3.8</v>
      </c>
      <c r="AC96" s="2">
        <f ca="1">IFERROR(__xludf.DUMMYFUNCTION("""COMPUTED_VALUE"""),14.6)</f>
        <v>14.6</v>
      </c>
      <c r="AD96" s="2"/>
      <c r="AE96" s="2"/>
      <c r="AF96" s="10"/>
      <c r="AG96" s="2"/>
      <c r="AH96" s="2"/>
      <c r="AI96" s="10"/>
      <c r="AJ96" s="10"/>
      <c r="AK96" s="2"/>
      <c r="AL96" s="2"/>
      <c r="AM96" s="2"/>
    </row>
    <row r="97" spans="1:39" ht="12.75">
      <c r="A97" s="7">
        <f ca="1">IFERROR(__xludf.DUMMYFUNCTION("""COMPUTED_VALUE"""),758)</f>
        <v>758</v>
      </c>
      <c r="B97" s="2"/>
      <c r="C97" s="4"/>
      <c r="D97" s="2"/>
      <c r="E97" s="2"/>
      <c r="F97" s="2" t="str">
        <f ca="1">IFERROR(__xludf.DUMMYFUNCTION("""COMPUTED_VALUE"""),"B0FZHB7YNY")</f>
        <v>B0FZHB7YNY</v>
      </c>
      <c r="G97" s="2" t="str">
        <f ca="1">IFERROR(__xludf.DUMMYFUNCTION("""COMPUTED_VALUE"""),"D758_191")</f>
        <v>D758_191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>
        <f ca="1">IFERROR(__xludf.DUMMYFUNCTION("""COMPUTED_VALUE"""),10)</f>
        <v>10</v>
      </c>
      <c r="AA97" s="2">
        <f ca="1">IFERROR(__xludf.DUMMYFUNCTION("""COMPUTED_VALUE"""),10)</f>
        <v>10</v>
      </c>
      <c r="AB97" s="2">
        <f ca="1">IFERROR(__xludf.DUMMYFUNCTION("""COMPUTED_VALUE"""),2)</f>
        <v>2</v>
      </c>
      <c r="AC97" s="2">
        <f ca="1">IFERROR(__xludf.DUMMYFUNCTION("""COMPUTED_VALUE"""),22)</f>
        <v>22</v>
      </c>
      <c r="AD97" s="2"/>
      <c r="AE97" s="2"/>
      <c r="AF97" s="2"/>
      <c r="AG97" s="2"/>
      <c r="AH97" s="2"/>
      <c r="AI97" s="10"/>
      <c r="AJ97" s="10"/>
      <c r="AK97" s="2"/>
      <c r="AL97" s="2"/>
      <c r="AM97" s="2"/>
    </row>
    <row r="98" spans="1:39" ht="12.75">
      <c r="A98" s="7">
        <f ca="1">IFERROR(__xludf.DUMMYFUNCTION("""COMPUTED_VALUE"""),759)</f>
        <v>759</v>
      </c>
      <c r="B98" s="2"/>
      <c r="C98" s="4"/>
      <c r="D98" s="2"/>
      <c r="E98" s="6"/>
      <c r="F98" s="2" t="str">
        <f ca="1">IFERROR(__xludf.DUMMYFUNCTION("""COMPUTED_VALUE"""),"B0G1LJXM55")</f>
        <v>B0G1LJXM55</v>
      </c>
      <c r="G98" s="2" t="str">
        <f ca="1">IFERROR(__xludf.DUMMYFUNCTION("""COMPUTED_VALUE"""),"D759_C_458")</f>
        <v>D759_C_458</v>
      </c>
      <c r="H98" s="2"/>
      <c r="I98" s="2" t="s">
        <v>67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>
        <f ca="1">IFERROR(__xludf.DUMMYFUNCTION("""COMPUTED_VALUE"""),10)</f>
        <v>10</v>
      </c>
      <c r="AA98" s="2">
        <f ca="1">IFERROR(__xludf.DUMMYFUNCTION("""COMPUTED_VALUE"""),10)</f>
        <v>10</v>
      </c>
      <c r="AB98" s="2">
        <f ca="1">IFERROR(__xludf.DUMMYFUNCTION("""COMPUTED_VALUE"""),2)</f>
        <v>2</v>
      </c>
      <c r="AC98" s="2">
        <f ca="1">IFERROR(__xludf.DUMMYFUNCTION("""COMPUTED_VALUE"""),22)</f>
        <v>22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2.75">
      <c r="A99" s="7">
        <f ca="1">IFERROR(__xludf.DUMMYFUNCTION("""COMPUTED_VALUE"""),760)</f>
        <v>760</v>
      </c>
      <c r="B99" s="2"/>
      <c r="C99" s="4"/>
      <c r="D99" s="2"/>
      <c r="E99" s="6"/>
      <c r="F99" s="2" t="str">
        <f ca="1">IFERROR(__xludf.DUMMYFUNCTION("""COMPUTED_VALUE"""),"B0G1L8G3GJ")</f>
        <v>B0G1L8G3GJ</v>
      </c>
      <c r="G99" s="2" t="str">
        <f ca="1">IFERROR(__xludf.DUMMYFUNCTION("""COMPUTED_VALUE"""),"D760_C_458")</f>
        <v>D760_C_458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>
        <f ca="1">IFERROR(__xludf.DUMMYFUNCTION("""COMPUTED_VALUE"""),10)</f>
        <v>10</v>
      </c>
      <c r="AA99" s="2">
        <f ca="1">IFERROR(__xludf.DUMMYFUNCTION("""COMPUTED_VALUE"""),10)</f>
        <v>10</v>
      </c>
      <c r="AB99" s="2">
        <f ca="1">IFERROR(__xludf.DUMMYFUNCTION("""COMPUTED_VALUE"""),2)</f>
        <v>2</v>
      </c>
      <c r="AC99" s="2">
        <f ca="1">IFERROR(__xludf.DUMMYFUNCTION("""COMPUTED_VALUE"""),22)</f>
        <v>22</v>
      </c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2.75">
      <c r="A100" s="7">
        <f ca="1">IFERROR(__xludf.DUMMYFUNCTION("""COMPUTED_VALUE"""),785)</f>
        <v>785</v>
      </c>
      <c r="B100" s="2"/>
      <c r="C100" s="4"/>
      <c r="D100" s="2"/>
      <c r="E100" s="6"/>
      <c r="F100" s="2" t="str">
        <f ca="1">IFERROR(__xludf.DUMMYFUNCTION("""COMPUTED_VALUE"""),"B0G1LQJ3DN")</f>
        <v>B0G1LQJ3DN</v>
      </c>
      <c r="G100" s="2" t="str">
        <f ca="1">IFERROR(__xludf.DUMMYFUNCTION("""COMPUTED_VALUE"""),"D785_75")</f>
        <v>D785_75</v>
      </c>
      <c r="H100" s="2"/>
      <c r="I100" s="2" t="s">
        <v>68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>
        <f ca="1">IFERROR(__xludf.DUMMYFUNCTION("""COMPUTED_VALUE"""),7)</f>
        <v>7</v>
      </c>
      <c r="AA100" s="2">
        <f ca="1">IFERROR(__xludf.DUMMYFUNCTION("""COMPUTED_VALUE"""),3.8)</f>
        <v>3.8</v>
      </c>
      <c r="AB100" s="2">
        <f ca="1">IFERROR(__xludf.DUMMYFUNCTION("""COMPUTED_VALUE"""),3.8)</f>
        <v>3.8</v>
      </c>
      <c r="AC100" s="2">
        <f ca="1">IFERROR(__xludf.DUMMYFUNCTION("""COMPUTED_VALUE"""),14.6)</f>
        <v>14.6</v>
      </c>
      <c r="AD100" s="2"/>
      <c r="AE100" s="2"/>
      <c r="AF100" s="10"/>
      <c r="AG100" s="2"/>
      <c r="AH100" s="2"/>
      <c r="AI100" s="10"/>
      <c r="AJ100" s="10"/>
      <c r="AK100" s="2"/>
      <c r="AL100" s="2"/>
      <c r="AM100" s="2"/>
    </row>
    <row r="101" spans="1:39" ht="12.75">
      <c r="A101" s="7">
        <f ca="1">IFERROR(__xludf.DUMMYFUNCTION("""COMPUTED_VALUE"""),786)</f>
        <v>786</v>
      </c>
      <c r="B101" s="2"/>
      <c r="C101" s="4"/>
      <c r="D101" s="2"/>
      <c r="E101" s="6"/>
      <c r="F101" s="2" t="str">
        <f ca="1">IFERROR(__xludf.DUMMYFUNCTION("""COMPUTED_VALUE"""),"B0G1LMJPNR")</f>
        <v>B0G1LMJPNR</v>
      </c>
      <c r="G101" s="2" t="str">
        <f ca="1">IFERROR(__xludf.DUMMYFUNCTION("""COMPUTED_VALUE"""),"D786_75")</f>
        <v>D786_75</v>
      </c>
      <c r="H101" s="2"/>
      <c r="I101" s="2" t="s">
        <v>69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>
        <f ca="1">IFERROR(__xludf.DUMMYFUNCTION("""COMPUTED_VALUE"""),7)</f>
        <v>7</v>
      </c>
      <c r="AA101" s="2">
        <f ca="1">IFERROR(__xludf.DUMMYFUNCTION("""COMPUTED_VALUE"""),3.8)</f>
        <v>3.8</v>
      </c>
      <c r="AB101" s="2">
        <f ca="1">IFERROR(__xludf.DUMMYFUNCTION("""COMPUTED_VALUE"""),3.8)</f>
        <v>3.8</v>
      </c>
      <c r="AC101" s="2">
        <f ca="1">IFERROR(__xludf.DUMMYFUNCTION("""COMPUTED_VALUE"""),14.6)</f>
        <v>14.6</v>
      </c>
      <c r="AD101" s="2"/>
      <c r="AE101" s="2"/>
      <c r="AF101" s="10"/>
      <c r="AG101" s="2"/>
      <c r="AH101" s="2"/>
      <c r="AI101" s="10"/>
      <c r="AJ101" s="10"/>
      <c r="AK101" s="2"/>
      <c r="AL101" s="2"/>
      <c r="AM10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Jancode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知直 榎本</dc:creator>
  <cp:lastModifiedBy>知直 榎本</cp:lastModifiedBy>
  <dcterms:created xsi:type="dcterms:W3CDTF">2025-12-26T14:13:34Z</dcterms:created>
  <dcterms:modified xsi:type="dcterms:W3CDTF">2025-12-29T02:06:17Z</dcterms:modified>
</cp:coreProperties>
</file>